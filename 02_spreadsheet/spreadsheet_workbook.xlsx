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as\Downloads\"/>
    </mc:Choice>
  </mc:AlternateContent>
  <bookViews>
    <workbookView xWindow="0" yWindow="0" windowWidth="20490" windowHeight="7770" activeTab="1"/>
  </bookViews>
  <sheets>
    <sheet name="spreadsheet_workbook" sheetId="3" r:id="rId1"/>
    <sheet name="Pivot Table" sheetId="8" r:id="rId2"/>
    <sheet name="transaction_raw" sheetId="1" r:id="rId3"/>
    <sheet name="merchant_master" sheetId="2" r:id="rId4"/>
    <sheet name="exchange_rate" sheetId="4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Q32" i="3" l="1"/>
  <c r="R2" i="3"/>
  <c r="Q2" i="3"/>
  <c r="K2" i="3"/>
  <c r="G2" i="3"/>
  <c r="G3" i="3"/>
  <c r="G12" i="3" l="1"/>
  <c r="R12" i="3" s="1"/>
  <c r="G13" i="3"/>
  <c r="G4" i="3"/>
  <c r="G5" i="3"/>
  <c r="G6" i="3"/>
  <c r="G7" i="3"/>
  <c r="G8" i="3"/>
  <c r="G9" i="3"/>
  <c r="G10" i="3"/>
  <c r="G11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R3" i="3" l="1"/>
  <c r="R4" i="3"/>
  <c r="R5" i="3"/>
  <c r="R6" i="3"/>
  <c r="R7" i="3"/>
  <c r="R8" i="3"/>
  <c r="R9" i="3"/>
  <c r="R10" i="3"/>
  <c r="R11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O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R32" i="3" l="1"/>
</calcChain>
</file>

<file path=xl/sharedStrings.xml><?xml version="1.0" encoding="utf-8"?>
<sst xmlns="http://schemas.openxmlformats.org/spreadsheetml/2006/main" count="431" uniqueCount="147">
  <si>
    <t>merchant_id</t>
  </si>
  <si>
    <t>merchant_name</t>
  </si>
  <si>
    <t>account_manager</t>
  </si>
  <si>
    <t>merchant_category</t>
  </si>
  <si>
    <t>default_region</t>
  </si>
  <si>
    <t>M001</t>
  </si>
  <si>
    <t>Alpha Mart</t>
  </si>
  <si>
    <t>Aisha Khan</t>
  </si>
  <si>
    <t>Grocery</t>
  </si>
  <si>
    <t>APAC</t>
  </si>
  <si>
    <t>M002</t>
  </si>
  <si>
    <t>Beta Stores</t>
  </si>
  <si>
    <t>Rohan Mehta</t>
  </si>
  <si>
    <t>Electronics</t>
  </si>
  <si>
    <t>M003</t>
  </si>
  <si>
    <t>City Pharma</t>
  </si>
  <si>
    <t>Elena Rossi</t>
  </si>
  <si>
    <t>Healthcare</t>
  </si>
  <si>
    <t>EU</t>
  </si>
  <si>
    <t>M004</t>
  </si>
  <si>
    <t>Delta Travels</t>
  </si>
  <si>
    <t>Marcus Lee</t>
  </si>
  <si>
    <t>Travel</t>
  </si>
  <si>
    <t>US</t>
  </si>
  <si>
    <t>M005</t>
  </si>
  <si>
    <t>Eco Home</t>
  </si>
  <si>
    <t>Nina Weber</t>
  </si>
  <si>
    <t>Home</t>
  </si>
  <si>
    <t>Transaction_id</t>
  </si>
  <si>
    <t>Transaction_Date</t>
  </si>
  <si>
    <t>Merchant_Name</t>
  </si>
  <si>
    <t>Raw_Amount</t>
  </si>
  <si>
    <t>Currency</t>
  </si>
  <si>
    <t>Status</t>
  </si>
  <si>
    <t>Gateway_region</t>
  </si>
  <si>
    <t>User_id</t>
  </si>
  <si>
    <t>Payment_method</t>
  </si>
  <si>
    <t>T001</t>
  </si>
  <si>
    <t>INR</t>
  </si>
  <si>
    <t>Captured</t>
  </si>
  <si>
    <t>U001</t>
  </si>
  <si>
    <t>UPI</t>
  </si>
  <si>
    <t>T002</t>
  </si>
  <si>
    <t>U002</t>
  </si>
  <si>
    <t>Card</t>
  </si>
  <si>
    <t>T003</t>
  </si>
  <si>
    <t>U003</t>
  </si>
  <si>
    <t>NetBanking</t>
  </si>
  <si>
    <t>T004</t>
  </si>
  <si>
    <t>Failed E05 Timeout</t>
  </si>
  <si>
    <t>U004</t>
  </si>
  <si>
    <t>T005</t>
  </si>
  <si>
    <t>T006</t>
  </si>
  <si>
    <t>U005</t>
  </si>
  <si>
    <t>Wallet</t>
  </si>
  <si>
    <t>T007</t>
  </si>
  <si>
    <t>Chargeback</t>
  </si>
  <si>
    <t>U006</t>
  </si>
  <si>
    <t>T008</t>
  </si>
  <si>
    <t>U007</t>
  </si>
  <si>
    <t>T009</t>
  </si>
  <si>
    <t>T010</t>
  </si>
  <si>
    <t>T011</t>
  </si>
  <si>
    <t>U008</t>
  </si>
  <si>
    <t>T012</t>
  </si>
  <si>
    <t>U009</t>
  </si>
  <si>
    <t>T013</t>
  </si>
  <si>
    <t>U010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</si>
  <si>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</si>
  <si>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</si>
  <si>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</si>
  <si>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</si>
  <si>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</si>
  <si>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</si>
  <si>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</si>
  <si>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</si>
  <si>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</si>
  <si>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</si>
  <si>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EUR</t>
  </si>
  <si>
    <t>T024</t>
  </si>
  <si>
    <t>T025</t>
  </si>
  <si>
    <t>T026</t>
  </si>
  <si>
    <t>T027</t>
  </si>
  <si>
    <t>USD</t>
  </si>
  <si>
    <t>T028</t>
  </si>
  <si>
    <t>T029</t>
  </si>
  <si>
    <t>T030</t>
  </si>
  <si>
    <t>rate_date</t>
  </si>
  <si>
    <t>currency</t>
  </si>
  <si>
    <t>usd_rate</t>
  </si>
  <si>
    <t>Risk_Score</t>
  </si>
  <si>
    <t>region</t>
  </si>
  <si>
    <t>high_risk_flag</t>
  </si>
  <si>
    <t>high_vlaue_flag</t>
  </si>
  <si>
    <t>amount_usd</t>
  </si>
  <si>
    <t>transaction_id</t>
  </si>
  <si>
    <t>transaction_date</t>
  </si>
  <si>
    <t>raw_amount</t>
  </si>
  <si>
    <t>status</t>
  </si>
  <si>
    <t>risk_score</t>
  </si>
  <si>
    <t>gateway_region</t>
  </si>
  <si>
    <t>user_id</t>
  </si>
  <si>
    <t>payment_method</t>
  </si>
  <si>
    <t xml:space="preserve"> alpha mart </t>
  </si>
  <si>
    <t>captured</t>
  </si>
  <si>
    <t>score:62</t>
  </si>
  <si>
    <t>ALPHA MART</t>
  </si>
  <si>
    <t xml:space="preserve">Captured </t>
  </si>
  <si>
    <t xml:space="preserve">BETA STORES </t>
  </si>
  <si>
    <t xml:space="preserve"> CAPTURED</t>
  </si>
  <si>
    <t xml:space="preserve"> APAC </t>
  </si>
  <si>
    <t>Beta  Stores</t>
  </si>
  <si>
    <t xml:space="preserve"> failed e05 timeout </t>
  </si>
  <si>
    <t>apac</t>
  </si>
  <si>
    <t>score:64</t>
  </si>
  <si>
    <t>Alpha  Mart</t>
  </si>
  <si>
    <t>chargeback</t>
  </si>
  <si>
    <t>risk-83</t>
  </si>
  <si>
    <t>risk-77</t>
  </si>
  <si>
    <t>FAILED e05 TIMEOUT</t>
  </si>
  <si>
    <t xml:space="preserve">captured </t>
  </si>
  <si>
    <t>risk-61</t>
  </si>
  <si>
    <t>score:54</t>
  </si>
  <si>
    <t>risk-73</t>
  </si>
  <si>
    <t>score:52</t>
  </si>
  <si>
    <t>failed E05 timeout</t>
  </si>
  <si>
    <t>risk-69</t>
  </si>
  <si>
    <t>score:72</t>
  </si>
  <si>
    <t xml:space="preserve"> chargeback </t>
  </si>
  <si>
    <t>risk-86</t>
  </si>
  <si>
    <t>score:67</t>
  </si>
  <si>
    <t xml:space="preserve"> beta stores</t>
  </si>
  <si>
    <t>score:63</t>
  </si>
  <si>
    <t xml:space="preserve"> EU </t>
  </si>
  <si>
    <t>score:65</t>
  </si>
  <si>
    <t>eu</t>
  </si>
  <si>
    <t>DELTA TRAVELS</t>
  </si>
  <si>
    <t>us</t>
  </si>
  <si>
    <t>risk-41</t>
  </si>
  <si>
    <t xml:space="preserve">delta travels </t>
  </si>
  <si>
    <t>score:58</t>
  </si>
  <si>
    <t>score:47</t>
  </si>
  <si>
    <t>Row Labels</t>
  </si>
  <si>
    <t>Grand Total</t>
  </si>
  <si>
    <t>Column Labels</t>
  </si>
  <si>
    <t>Sum of amount_usd</t>
  </si>
  <si>
    <t>Top Merchant by Captured GMV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</si>
</sst>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kas" refreshedDate="46144.711831944442" createdVersion="6" refreshedVersion="6" minRefreshableVersion="3" recordCount="30">
  <cacheSource type="worksheet">
    <worksheetSource ref="A1:R31" sheet="spreadsheet_workbook"/>
  </cacheSource>
  <cacheFields count="18">
    <cacheField name="Transaction_id" numFmtId="0">
      <sharedItems/>
    </cacheField>
    <cacheField name="Transaction_Date" numFmtId="14">
      <sharedItems containsSemiMixedTypes="0" containsNonDate="0" containsDate="1" containsString="0" minDate="2026-03-01T00:00:00" maxDate="2026-03-07T00:00:00"/>
    </cacheField>
    <cacheField name="Merchant_Name" numFmtId="0">
      <sharedItems count="5">
        <s v="Alpha Mart"/>
        <s v="Beta Stores"/>
        <s v="City Pharma"/>
        <s v="Eco Home"/>
        <s v="Delta Travels"/>
      </sharedItems>
    </cacheField>
    <cacheField name="Raw_Amount" numFmtId="0">
      <sharedItems containsSemiMixedTypes="0" containsString="0" containsNumber="1" containsInteger="1" minValue="1800" maxValue="610000"/>
    </cacheField>
    <cacheField name="Currency" numFmtId="0">
      <sharedItems/>
    </cacheField>
    <cacheField name="Status" numFmtId="0">
      <sharedItems count="3">
        <s v="Captured"/>
        <s v="Failed E05 Timeout"/>
        <s v="Chargeback"/>
      </sharedItems>
    </cacheField>
    <cacheField name="Risk_Score" numFmtId="0">
      <sharedItems containsSemiMixedTypes="0" containsString="0" containsNumber="1" minValue="38" maxValue="86"/>
    </cacheField>
    <cacheField name="Gateway_region" numFmtId="0">
      <sharedItems/>
    </cacheField>
    <cacheField name="User_id" numFmtId="0">
      <sharedItems/>
    </cacheField>
    <cacheField name="Payment_method" numFmtId="0">
      <sharedItems/>
    </cacheField>
    <cacheField name="usd_rate" numFmtId="0">
      <sharedItems containsSemiMixedTypes="0" containsString="0" containsNumber="1" minValue="1.18E-2" maxValue="1.0900000000000001"/>
    </cacheField>
    <cacheField name="amount_usd" numFmtId="0">
      <sharedItems containsSemiMixedTypes="0" containsString="0" containsNumber="1" minValue="1512.5" maxValue="7381"/>
    </cacheField>
    <cacheField name="merchant_id" numFmtId="0">
      <sharedItems/>
    </cacheField>
    <cacheField name="account_manager" numFmtId="0">
      <sharedItems/>
    </cacheField>
    <cacheField name="merchant_category" numFmtId="0">
      <sharedItems count="5">
        <s v="Grocery"/>
        <s v="Electronics"/>
        <s v="Healthcare"/>
        <s v="Home"/>
        <s v="Travel"/>
      </sharedItems>
    </cacheField>
    <cacheField name="region" numFmtId="0">
      <sharedItems/>
    </cacheField>
    <cacheField name="high_vlaue_flag" numFmtId="1">
      <sharedItems containsSemiMixedTypes="0" containsString="0" containsNumber="1" containsInteger="1" minValue="0" maxValue="1"/>
    </cacheField>
    <cacheField name="high_risk_flag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T001"/>
    <d v="2026-03-01T00:00:00"/>
    <x v="0"/>
    <n v="420000"/>
    <s v="INR"/>
    <x v="0"/>
    <n v="62"/>
    <s v="APAC"/>
    <s v="U001"/>
    <s v="UPI"/>
    <n v="1.1900000000000001E-2"/>
    <n v="4998"/>
    <s v="M001"/>
    <s v="Aisha Khan"/>
    <x v="0"/>
    <s v="APAC"/>
    <n v="0"/>
    <n v="0"/>
  </r>
  <r>
    <s v="T002"/>
    <d v="2026-03-01T00:00:00"/>
    <x v="0"/>
    <n v="210000"/>
    <s v="INR"/>
    <x v="0"/>
    <n v="55"/>
    <s v="NOT FOUND"/>
    <s v="U002"/>
    <s v="Card"/>
    <n v="1.1900000000000001E-2"/>
    <n v="2499"/>
    <s v="M001"/>
    <s v="Aisha Khan"/>
    <x v="0"/>
    <s v="APAC"/>
    <n v="0"/>
    <n v="0"/>
  </r>
  <r>
    <s v="T003"/>
    <d v="2026-03-01T00:00:00"/>
    <x v="1"/>
    <n v="510000"/>
    <s v="INR"/>
    <x v="0"/>
    <n v="71"/>
    <s v="APAC"/>
    <s v="U003"/>
    <s v="NetBanking"/>
    <n v="1.1900000000000001E-2"/>
    <n v="6069"/>
    <s v="M002"/>
    <s v="Rohan Mehta"/>
    <x v="1"/>
    <s v="APAC"/>
    <n v="1"/>
    <n v="1"/>
  </r>
  <r>
    <s v="T004"/>
    <d v="2026-03-02T00:00:00"/>
    <x v="1"/>
    <n v="160000"/>
    <s v="INR"/>
    <x v="1"/>
    <n v="68"/>
    <s v="APAC"/>
    <s v="U004"/>
    <s v="Card"/>
    <n v="1.2E-2"/>
    <n v="1920"/>
    <s v="M002"/>
    <s v="Rohan Mehta"/>
    <x v="1"/>
    <s v="APAC"/>
    <n v="0"/>
    <n v="0"/>
  </r>
  <r>
    <s v="T005"/>
    <d v="2026-03-02T00:00:00"/>
    <x v="0"/>
    <n v="390000"/>
    <s v="INR"/>
    <x v="0"/>
    <n v="58"/>
    <s v="NOT FOUND"/>
    <s v="U001"/>
    <s v="UPI"/>
    <n v="1.2E-2"/>
    <n v="4680"/>
    <s v="M001"/>
    <s v="Aisha Khan"/>
    <x v="0"/>
    <s v="APAC"/>
    <n v="0"/>
    <n v="0"/>
  </r>
  <r>
    <s v="T006"/>
    <d v="2026-03-02T00:00:00"/>
    <x v="1"/>
    <n v="275000"/>
    <s v="INR"/>
    <x v="0"/>
    <n v="64"/>
    <s v="NOT FOUND"/>
    <s v="U005"/>
    <s v="Wallet"/>
    <n v="1.2E-2"/>
    <n v="3300"/>
    <s v="M002"/>
    <s v="Rohan Mehta"/>
    <x v="1"/>
    <s v="APAC"/>
    <n v="0"/>
    <n v="0"/>
  </r>
  <r>
    <s v="T007"/>
    <d v="2026-03-02T00:00:00"/>
    <x v="0"/>
    <n v="450000"/>
    <s v="INR"/>
    <x v="2"/>
    <n v="83"/>
    <s v="APAC"/>
    <s v="U006"/>
    <s v="Card"/>
    <n v="1.2E-2"/>
    <n v="5400"/>
    <s v="M001"/>
    <s v="Aisha Khan"/>
    <x v="0"/>
    <s v="APAC"/>
    <n v="1"/>
    <n v="1"/>
  </r>
  <r>
    <s v="T008"/>
    <d v="2026-03-03T00:00:00"/>
    <x v="1"/>
    <n v="340000"/>
    <s v="INR"/>
    <x v="0"/>
    <n v="59"/>
    <s v="NOT FOUND"/>
    <s v="U007"/>
    <s v="UPI"/>
    <n v="1.21E-2"/>
    <n v="4114"/>
    <s v="M002"/>
    <s v="Rohan Mehta"/>
    <x v="1"/>
    <s v="APAC"/>
    <n v="0"/>
    <n v="0"/>
  </r>
  <r>
    <s v="T009"/>
    <d v="2026-03-03T00:00:00"/>
    <x v="0"/>
    <n v="125000"/>
    <s v="INR"/>
    <x v="0"/>
    <n v="46"/>
    <s v="APAC"/>
    <s v="U002"/>
    <s v="Wallet"/>
    <n v="1.21E-2"/>
    <n v="1512.5"/>
    <s v="M001"/>
    <s v="Aisha Khan"/>
    <x v="0"/>
    <s v="APAC"/>
    <n v="0"/>
    <n v="0"/>
  </r>
  <r>
    <s v="T010"/>
    <d v="2026-03-03T00:00:00"/>
    <x v="1"/>
    <n v="610000"/>
    <s v="INR"/>
    <x v="0"/>
    <n v="77"/>
    <s v="NOT FOUND"/>
    <s v="U003"/>
    <s v="Card"/>
    <n v="1.21E-2"/>
    <n v="7381"/>
    <s v="M002"/>
    <s v="Rohan Mehta"/>
    <x v="1"/>
    <s v="APAC"/>
    <n v="1"/>
    <n v="1"/>
  </r>
  <r>
    <s v="T011"/>
    <d v="2026-03-03T00:00:00"/>
    <x v="0"/>
    <n v="195000"/>
    <s v="INR"/>
    <x v="1"/>
    <n v="60.655172413793103"/>
    <s v="NOT FOUND"/>
    <s v="U008"/>
    <s v="UPI"/>
    <n v="1.21E-2"/>
    <n v="2359.5"/>
    <s v="M001"/>
    <s v="Aisha Khan"/>
    <x v="0"/>
    <s v="APAC"/>
    <n v="0"/>
    <n v="0"/>
  </r>
  <r>
    <s v="T012"/>
    <d v="2026-03-04T00:00:00"/>
    <x v="1"/>
    <n v="250000"/>
    <s v="INR"/>
    <x v="0"/>
    <n v="61"/>
    <s v="APAC"/>
    <s v="U009"/>
    <s v="Card"/>
    <n v="1.2E-2"/>
    <n v="3000"/>
    <s v="M002"/>
    <s v="Rohan Mehta"/>
    <x v="1"/>
    <s v="APAC"/>
    <n v="0"/>
    <n v="0"/>
  </r>
  <r>
    <s v="T013"/>
    <d v="2026-03-04T00:00:00"/>
    <x v="0"/>
    <n v="310000"/>
    <s v="INR"/>
    <x v="0"/>
    <n v="54"/>
    <s v="APAC"/>
    <s v="U010"/>
    <s v="UPI"/>
    <n v="1.2E-2"/>
    <n v="3720"/>
    <s v="M001"/>
    <s v="Aisha Khan"/>
    <x v="0"/>
    <s v="APAC"/>
    <n v="0"/>
    <n v="0"/>
  </r>
  <r>
    <s v="T014"/>
    <d v="2026-03-04T00:00:00"/>
    <x v="1"/>
    <n v="470000"/>
    <s v="INR"/>
    <x v="0"/>
    <n v="73"/>
    <s v="APAC"/>
    <s v="U001"/>
    <s v="NetBanking"/>
    <n v="1.2E-2"/>
    <n v="5640"/>
    <s v="M002"/>
    <s v="Rohan Mehta"/>
    <x v="1"/>
    <s v="APAC"/>
    <n v="1"/>
    <n v="1"/>
  </r>
  <r>
    <s v="T015"/>
    <d v="2026-03-04T00:00:00"/>
    <x v="0"/>
    <n v="130000"/>
    <s v="INR"/>
    <x v="0"/>
    <n v="52"/>
    <s v="NOT FOUND"/>
    <s v="U002"/>
    <s v="Card"/>
    <n v="1.2E-2"/>
    <n v="1560"/>
    <s v="M001"/>
    <s v="Aisha Khan"/>
    <x v="0"/>
    <s v="APAC"/>
    <n v="0"/>
    <n v="0"/>
  </r>
  <r>
    <s v="T016"/>
    <d v="2026-03-05T00:00:00"/>
    <x v="1"/>
    <n v="220000"/>
    <s v="INR"/>
    <x v="1"/>
    <n v="69"/>
    <s v="NOT FOUND"/>
    <s v="U008"/>
    <s v="Card"/>
    <n v="1.18E-2"/>
    <n v="2596"/>
    <s v="M002"/>
    <s v="Rohan Mehta"/>
    <x v="1"/>
    <s v="APAC"/>
    <n v="0"/>
    <n v="0"/>
  </r>
  <r>
    <s v="T017"/>
    <d v="2026-03-05T00:00:00"/>
    <x v="1"/>
    <n v="180000"/>
    <s v="INR"/>
    <x v="1"/>
    <n v="72"/>
    <s v="APAC"/>
    <s v="U008"/>
    <s v="Card"/>
    <n v="1.18E-2"/>
    <n v="2124"/>
    <s v="M002"/>
    <s v="Rohan Mehta"/>
    <x v="1"/>
    <s v="APAC"/>
    <n v="0"/>
    <n v="1"/>
  </r>
  <r>
    <s v="T018"/>
    <d v="2026-03-05T00:00:00"/>
    <x v="1"/>
    <n v="145000"/>
    <s v="INR"/>
    <x v="2"/>
    <n v="86"/>
    <s v="APAC"/>
    <s v="U008"/>
    <s v="UPI"/>
    <n v="1.18E-2"/>
    <n v="1711"/>
    <s v="M002"/>
    <s v="Rohan Mehta"/>
    <x v="1"/>
    <s v="APAC"/>
    <n v="0"/>
    <n v="1"/>
  </r>
  <r>
    <s v="T019"/>
    <d v="2026-03-05T00:00:00"/>
    <x v="0"/>
    <n v="260000"/>
    <s v="INR"/>
    <x v="1"/>
    <n v="67"/>
    <s v="APAC"/>
    <s v="U008"/>
    <s v="Wallet"/>
    <n v="1.18E-2"/>
    <n v="3068"/>
    <s v="M001"/>
    <s v="Aisha Khan"/>
    <x v="0"/>
    <s v="APAC"/>
    <n v="0"/>
    <n v="0"/>
  </r>
  <r>
    <s v="T020"/>
    <d v="2026-03-05T00:00:00"/>
    <x v="0"/>
    <n v="520000"/>
    <s v="INR"/>
    <x v="0"/>
    <n v="75"/>
    <s v="APAC"/>
    <s v="U005"/>
    <s v="UPI"/>
    <n v="1.18E-2"/>
    <n v="6136"/>
    <s v="M001"/>
    <s v="Aisha Khan"/>
    <x v="0"/>
    <s v="APAC"/>
    <n v="1"/>
    <n v="1"/>
  </r>
  <r>
    <s v="T021"/>
    <d v="2026-03-06T00:00:00"/>
    <x v="1"/>
    <n v="330000"/>
    <s v="INR"/>
    <x v="0"/>
    <n v="63"/>
    <s v="NOT FOUND"/>
    <s v="U006"/>
    <s v="Card"/>
    <n v="1.1900000000000001E-2"/>
    <n v="3927.0000000000005"/>
    <s v="M002"/>
    <s v="Rohan Mehta"/>
    <x v="1"/>
    <s v="APAC"/>
    <n v="0"/>
    <n v="0"/>
  </r>
  <r>
    <s v="T022"/>
    <d v="2026-03-06T00:00:00"/>
    <x v="0"/>
    <n v="410000"/>
    <s v="INR"/>
    <x v="0"/>
    <n v="60"/>
    <s v="APAC"/>
    <s v="U007"/>
    <s v="UPI"/>
    <n v="1.1900000000000001E-2"/>
    <n v="4879"/>
    <s v="M001"/>
    <s v="Aisha Khan"/>
    <x v="0"/>
    <s v="APAC"/>
    <n v="0"/>
    <n v="0"/>
  </r>
  <r>
    <s v="T023"/>
    <d v="2026-03-01T00:00:00"/>
    <x v="2"/>
    <n v="5200"/>
    <s v="EUR"/>
    <x v="0"/>
    <n v="42"/>
    <s v="EU"/>
    <s v="U003"/>
    <s v="Card"/>
    <n v="1.08"/>
    <n v="5616"/>
    <s v="M003"/>
    <s v="Elena Rossi"/>
    <x v="2"/>
    <s v="EU"/>
    <n v="0"/>
    <n v="0"/>
  </r>
  <r>
    <s v="T024"/>
    <d v="2026-03-02T00:00:00"/>
    <x v="3"/>
    <n v="6100"/>
    <s v="EUR"/>
    <x v="2"/>
    <n v="65"/>
    <s v="EU"/>
    <s v="U004"/>
    <s v="Card"/>
    <n v="1.0900000000000001"/>
    <n v="6649.0000000000009"/>
    <s v="M005"/>
    <s v="Nina Weber"/>
    <x v="3"/>
    <s v="EU"/>
    <n v="1"/>
    <n v="1"/>
  </r>
  <r>
    <s v="T025"/>
    <d v="2026-03-03T00:00:00"/>
    <x v="2"/>
    <n v="2800"/>
    <s v="EUR"/>
    <x v="0"/>
    <n v="38"/>
    <s v="EU"/>
    <s v="U005"/>
    <s v="Wallet"/>
    <n v="1.08"/>
    <n v="3024"/>
    <s v="M003"/>
    <s v="Elena Rossi"/>
    <x v="2"/>
    <s v="EU"/>
    <n v="0"/>
    <n v="0"/>
  </r>
  <r>
    <s v="T026"/>
    <d v="2026-03-05T00:00:00"/>
    <x v="3"/>
    <n v="3300"/>
    <s v="EUR"/>
    <x v="1"/>
    <n v="44"/>
    <s v="EU"/>
    <s v="U006"/>
    <s v="NetBanking"/>
    <n v="1.0900000000000001"/>
    <n v="3597.0000000000005"/>
    <s v="M005"/>
    <s v="Nina Weber"/>
    <x v="3"/>
    <s v="EU"/>
    <n v="0"/>
    <n v="0"/>
  </r>
  <r>
    <s v="T027"/>
    <d v="2026-03-01T00:00:00"/>
    <x v="4"/>
    <n v="7200"/>
    <s v="USD"/>
    <x v="0"/>
    <n v="49"/>
    <s v="US"/>
    <s v="U007"/>
    <s v="Card"/>
    <n v="1"/>
    <n v="7200"/>
    <s v="M004"/>
    <s v="Marcus Lee"/>
    <x v="4"/>
    <s v="US"/>
    <n v="1"/>
    <n v="0"/>
  </r>
  <r>
    <s v="T028"/>
    <d v="2026-03-02T00:00:00"/>
    <x v="4"/>
    <n v="3100"/>
    <s v="USD"/>
    <x v="0"/>
    <n v="41"/>
    <s v="US"/>
    <s v="U008"/>
    <s v="Card"/>
    <n v="1"/>
    <n v="3100"/>
    <s v="M004"/>
    <s v="Marcus Lee"/>
    <x v="4"/>
    <s v="US"/>
    <n v="0"/>
    <n v="0"/>
  </r>
  <r>
    <s v="T029"/>
    <d v="2026-03-04T00:00:00"/>
    <x v="4"/>
    <n v="2500"/>
    <s v="USD"/>
    <x v="2"/>
    <n v="58"/>
    <s v="US"/>
    <s v="U009"/>
    <s v="Wallet"/>
    <n v="1"/>
    <n v="2500"/>
    <s v="M004"/>
    <s v="Marcus Lee"/>
    <x v="4"/>
    <s v="US"/>
    <n v="0"/>
    <n v="1"/>
  </r>
  <r>
    <s v="T030"/>
    <d v="2026-03-06T00:00:00"/>
    <x v="4"/>
    <n v="1800"/>
    <s v="USD"/>
    <x v="1"/>
    <n v="47"/>
    <s v="US"/>
    <s v="U010"/>
    <s v="UPI"/>
    <n v="1"/>
    <n v="1800"/>
    <s v="M004"/>
    <s v="Marcus Lee"/>
    <x v="4"/>
    <s v="US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1" firstDataRow="2" firstDataCol="1"/>
  <pivotFields count="18">
    <pivotField showAll="0"/>
    <pivotField numFmtId="14"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showAll="0"/>
    <pivotField axis="axisCol" showAll="0" sortType="ascending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/>
    <pivotField numFmtId="1" showAll="0"/>
    <pivotField numFmtI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amount_usd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F1" workbookViewId="0">
      <selection activeCell="H2" sqref="H2"/>
    </sheetView>
  </sheetViews>
  <sheetFormatPr defaultRowHeight="15" x14ac:dyDescent="0.25"/>
  <cols>
    <col min="1" max="1" width="14" bestFit="1" customWidth="1"/>
    <col min="2" max="2" width="16.42578125" bestFit="1" customWidth="1"/>
    <col min="3" max="3" width="15.85546875" bestFit="1" customWidth="1"/>
    <col min="4" max="4" width="12.85546875" bestFit="1" customWidth="1"/>
    <col min="6" max="6" width="18" bestFit="1" customWidth="1"/>
    <col min="7" max="7" width="19.28515625" bestFit="1" customWidth="1"/>
    <col min="8" max="8" width="15.5703125" bestFit="1" customWidth="1"/>
    <col min="9" max="9" width="7.7109375" bestFit="1" customWidth="1"/>
    <col min="10" max="10" width="17" bestFit="1" customWidth="1"/>
    <col min="11" max="12" width="17" customWidth="1"/>
    <col min="13" max="13" width="12.140625" bestFit="1" customWidth="1"/>
    <col min="14" max="14" width="16.7109375" bestFit="1" customWidth="1"/>
    <col min="15" max="15" width="18.28515625" bestFit="1" customWidth="1"/>
  </cols>
  <sheetData>
    <row r="1" spans="1:18" x14ac:dyDescent="0.25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90</v>
      </c>
      <c r="H1" s="2" t="s">
        <v>34</v>
      </c>
      <c r="I1" s="2" t="s">
        <v>35</v>
      </c>
      <c r="J1" s="2" t="s">
        <v>36</v>
      </c>
      <c r="K1" s="2" t="s">
        <v>89</v>
      </c>
      <c r="L1" s="2" t="s">
        <v>94</v>
      </c>
      <c r="M1" s="2" t="s">
        <v>0</v>
      </c>
      <c r="N1" s="2" t="s">
        <v>2</v>
      </c>
      <c r="O1" s="2" t="s">
        <v>3</v>
      </c>
      <c r="P1" s="2" t="s">
        <v>91</v>
      </c>
      <c r="Q1" s="2" t="s">
        <v>93</v>
      </c>
      <c r="R1" s="2" t="s">
        <v>92</v>
      </c>
    </row>
    <row r="2" spans="1:18" x14ac:dyDescent="0.25">
      <c r="A2" s="2" t="s">
        <v>37</v>
      </c>
      <c r="B2" s="3">
        <v>46082</v>
      </c>
      <c r="C2" s="2" t="str">
        <f>TRIM(PROPER(transaction_raw!C2))</f>
        <v>Alpha Mart</v>
      </c>
      <c r="D2" s="2">
        <v>420000</v>
      </c>
      <c r="E2" s="2" t="s">
        <v>38</v>
      </c>
      <c r="F2" s="2" t="str">
        <f>PROPER(TRIM(transaction_raw!F2))</f>
        <v>Captured</v>
      </c>
      <c r="G2" s="2">
        <f>VALUE(SUBSTITUTE(SUBSTITUTE(transaction_raw!G2, "score:", ""), "risk-", ""))</f>
        <v>62</v>
      </c>
      <c r="H2" s="2" t="str">
        <f>IF(TRIM(transaction_raw!H2)="", "NOT FOUND", UPPER(transaction_raw!H2))</f>
        <v>APAC</v>
      </c>
      <c r="I2" s="2" t="s">
        <v>40</v>
      </c>
      <c r="J2" s="2" t="s">
        <v>41</v>
      </c>
      <c r="K2" s="2">
        <f>SUMIFS(exchange_rate!$C:$C,exchange_rate!$A:$A, B2,exchange_rate!$B:$B, E2)</f>
        <v>1.1900000000000001E-2</v>
      </c>
      <c r="L2" s="2">
        <f>D2*K2</f>
        <v>4998</v>
      </c>
      <c r="M2" t="str">
        <f>VLOOKUP(C2,CHOOSE({1,2},merchant_master!$B:$B,merchant_master!$A:$A),2,0)</f>
        <v>M001</v>
      </c>
      <c r="N2" t="str">
        <f>VLOOKUP(C2,CHOOSE({1,2},merchant_master!$B:$B,merchant_master!$C:$C),2,0)</f>
        <v>Aisha Khan</v>
      </c>
      <c r="O2" t="str">
        <f>VLOOKUP(C2,CHOOSE({1,2},merchant_master!$B:$B,merchant_master!$D:$D),2,0)</f>
        <v>Grocery</v>
      </c>
      <c r="P2" t="str">
        <f>VLOOKUP(C2,CHOOSE({1,2},merchant_master!$B:$B,merchant_master!$E:$E),2,0)</f>
        <v>APAC</v>
      </c>
      <c r="Q2" s="8">
        <f>IF(OR(AND(P2="APAC", L2&gt;5000), AND(P2="EU", L2&gt;6000), AND(P2="US", L2&gt;7000)), 1, 0)</f>
        <v>0</v>
      </c>
      <c r="R2" s="8">
        <f>IF(OR(G2 &gt;= 70, ISNUMBER(SEARCH("chargeback", F2))), 1, 0)</f>
        <v>0</v>
      </c>
    </row>
    <row r="3" spans="1:18" x14ac:dyDescent="0.25">
      <c r="A3" s="2" t="s">
        <v>42</v>
      </c>
      <c r="B3" s="3">
        <v>46082</v>
      </c>
      <c r="C3" s="2" t="str">
        <f>TRIM(PROPER(transaction_raw!C3))</f>
        <v>Alpha Mart</v>
      </c>
      <c r="D3" s="2">
        <v>210000</v>
      </c>
      <c r="E3" s="2" t="s">
        <v>38</v>
      </c>
      <c r="F3" s="10" t="str">
        <f>PROPER(TRIM(transaction_raw!F3))</f>
        <v>Captured</v>
      </c>
      <c r="G3" s="2">
        <f>VALUE(SUBSTITUTE(SUBSTITUTE(transaction_raw!G3, "score:", ""), "risk-", ""))</f>
        <v>55</v>
      </c>
      <c r="H3" s="10" t="str">
        <f>IF(TRIM(transaction_raw!H3)="", "NOT FOUND", UPPER(transaction_raw!H3))</f>
        <v>NOT FOUND</v>
      </c>
      <c r="I3" s="2" t="s">
        <v>43</v>
      </c>
      <c r="J3" s="2" t="s">
        <v>44</v>
      </c>
      <c r="K3" s="2">
        <f>SUMIFS(exchange_rate!$C:$C,exchange_rate!$A:$A, B3,exchange_rate!$B:$B, E3)</f>
        <v>1.1900000000000001E-2</v>
      </c>
      <c r="L3" s="2">
        <f t="shared" ref="L3:L31" si="0">D3*K3</f>
        <v>2499</v>
      </c>
      <c r="M3" t="str">
        <f>VLOOKUP(C3,CHOOSE({1,2},merchant_master!$B:$B,merchant_master!$A:$A),2,0)</f>
        <v>M001</v>
      </c>
      <c r="N3" t="str">
        <f>VLOOKUP(C3,CHOOSE({1,2},merchant_master!$B:$B,merchant_master!$C:$C),2,0)</f>
        <v>Aisha Khan</v>
      </c>
      <c r="O3" t="str">
        <f>VLOOKUP(C3,CHOOSE({1,2},merchant_master!$B:$B,merchant_master!$D:$D),2,0)</f>
        <v>Grocery</v>
      </c>
      <c r="P3" t="str">
        <f>VLOOKUP(C3,CHOOSE({1,2},merchant_master!$B:$B,merchant_master!$E:$E),2,0)</f>
        <v>APAC</v>
      </c>
      <c r="Q3" s="8">
        <f t="shared" ref="Q3:Q31" si="1">IF(OR(AND(P3="APAC", L3&gt;5000), AND(P3="EU", L3&gt;6000), AND(P3="US", L3&gt;7000)), 1, 0)</f>
        <v>0</v>
      </c>
      <c r="R3" s="8">
        <f t="shared" ref="R3:R31" si="2">IF(OR(G3 &gt;= 70, ISNUMBER(SEARCH("chargeback", F3))), 1, 0)</f>
        <v>0</v>
      </c>
    </row>
    <row r="4" spans="1:18" x14ac:dyDescent="0.25">
      <c r="A4" s="2" t="s">
        <v>45</v>
      </c>
      <c r="B4" s="3">
        <v>46082</v>
      </c>
      <c r="C4" s="2" t="str">
        <f>TRIM(PROPER(transaction_raw!C4))</f>
        <v>Beta Stores</v>
      </c>
      <c r="D4" s="2">
        <v>510000</v>
      </c>
      <c r="E4" s="2" t="s">
        <v>38</v>
      </c>
      <c r="F4" s="10" t="str">
        <f>PROPER(TRIM(transaction_raw!F4))</f>
        <v>Captured</v>
      </c>
      <c r="G4" s="2">
        <f>VALUE(SUBSTITUTE(SUBSTITUTE(transaction_raw!G4, "score:", ""), "risk-", ""))</f>
        <v>71</v>
      </c>
      <c r="H4" s="10" t="str">
        <f>IF(TRIM(transaction_raw!H4)="", "NOT FOUND", UPPER(transaction_raw!H4))</f>
        <v xml:space="preserve"> APAC </v>
      </c>
      <c r="I4" s="2" t="s">
        <v>46</v>
      </c>
      <c r="J4" s="2" t="s">
        <v>47</v>
      </c>
      <c r="K4" s="2">
        <f>SUMIFS(exchange_rate!$C:$C,exchange_rate!$A:$A, B4,exchange_rate!$B:$B, E4)</f>
        <v>1.1900000000000001E-2</v>
      </c>
      <c r="L4" s="2">
        <f t="shared" si="0"/>
        <v>6069</v>
      </c>
      <c r="M4" t="str">
        <f>VLOOKUP(C4,CHOOSE({1,2},merchant_master!$B:$B,merchant_master!$A:$A),2,0)</f>
        <v>M002</v>
      </c>
      <c r="N4" t="str">
        <f>VLOOKUP(C4,CHOOSE({1,2},merchant_master!$B:$B,merchant_master!$C:$C),2,0)</f>
        <v>Rohan Mehta</v>
      </c>
      <c r="O4" t="str">
        <f>VLOOKUP(C4,CHOOSE({1,2},merchant_master!$B:$B,merchant_master!$D:$D),2,0)</f>
        <v>Electronics</v>
      </c>
      <c r="P4" t="str">
        <f>VLOOKUP(C4,CHOOSE({1,2},merchant_master!$B:$B,merchant_master!$E:$E),2,0)</f>
        <v>APAC</v>
      </c>
      <c r="Q4" s="8">
        <f t="shared" si="1"/>
        <v>1</v>
      </c>
      <c r="R4" s="8">
        <f t="shared" si="2"/>
        <v>1</v>
      </c>
    </row>
    <row r="5" spans="1:18" x14ac:dyDescent="0.25">
      <c r="A5" s="2" t="s">
        <v>48</v>
      </c>
      <c r="B5" s="3">
        <v>46083</v>
      </c>
      <c r="C5" s="2" t="str">
        <f>TRIM(PROPER(transaction_raw!C5))</f>
        <v>Beta Stores</v>
      </c>
      <c r="D5" s="2">
        <v>160000</v>
      </c>
      <c r="E5" s="2" t="s">
        <v>38</v>
      </c>
      <c r="F5" s="10" t="str">
        <f>PROPER(TRIM(transaction_raw!F5))</f>
        <v>Failed E05 Timeout</v>
      </c>
      <c r="G5" s="2">
        <f>VALUE(SUBSTITUTE(SUBSTITUTE(transaction_raw!G5, "score:", ""), "risk-", ""))</f>
        <v>68</v>
      </c>
      <c r="H5" s="10" t="str">
        <f>IF(TRIM(transaction_raw!H5)="", "NOT FOUND", UPPER(transaction_raw!H5))</f>
        <v>APAC</v>
      </c>
      <c r="I5" s="2" t="s">
        <v>50</v>
      </c>
      <c r="J5" s="2" t="s">
        <v>44</v>
      </c>
      <c r="K5" s="2">
        <f>SUMIFS(exchange_rate!$C:$C,exchange_rate!$A:$A, B5,exchange_rate!$B:$B, E5)</f>
        <v>1.2E-2</v>
      </c>
      <c r="L5" s="2">
        <f t="shared" si="0"/>
        <v>1920</v>
      </c>
      <c r="M5" t="str">
        <f>VLOOKUP(C5,CHOOSE({1,2},merchant_master!$B:$B,merchant_master!$A:$A),2,0)</f>
        <v>M002</v>
      </c>
      <c r="N5" t="str">
        <f>VLOOKUP(C5,CHOOSE({1,2},merchant_master!$B:$B,merchant_master!$C:$C),2,0)</f>
        <v>Rohan Mehta</v>
      </c>
      <c r="O5" t="str">
        <f>VLOOKUP(C5,CHOOSE({1,2},merchant_master!$B:$B,merchant_master!$D:$D),2,0)</f>
        <v>Electronics</v>
      </c>
      <c r="P5" t="str">
        <f>VLOOKUP(C5,CHOOSE({1,2},merchant_master!$B:$B,merchant_master!$E:$E),2,0)</f>
        <v>APAC</v>
      </c>
      <c r="Q5" s="8">
        <f t="shared" si="1"/>
        <v>0</v>
      </c>
      <c r="R5" s="8">
        <f t="shared" si="2"/>
        <v>0</v>
      </c>
    </row>
    <row r="6" spans="1:18" x14ac:dyDescent="0.25">
      <c r="A6" s="2" t="s">
        <v>51</v>
      </c>
      <c r="B6" s="3">
        <v>46083</v>
      </c>
      <c r="C6" s="2" t="str">
        <f>TRIM(PROPER(transaction_raw!C6))</f>
        <v>Alpha Mart</v>
      </c>
      <c r="D6" s="2">
        <v>390000</v>
      </c>
      <c r="E6" s="2" t="s">
        <v>38</v>
      </c>
      <c r="F6" s="10" t="str">
        <f>PROPER(TRIM(transaction_raw!F6))</f>
        <v>Captured</v>
      </c>
      <c r="G6" s="2">
        <f>VALUE(SUBSTITUTE(SUBSTITUTE(transaction_raw!G6, "score:", ""), "risk-", ""))</f>
        <v>58</v>
      </c>
      <c r="H6" s="10" t="str">
        <f>IF(TRIM(transaction_raw!H6)="", "NOT FOUND", UPPER(transaction_raw!H6))</f>
        <v>NOT FOUND</v>
      </c>
      <c r="I6" s="2" t="s">
        <v>40</v>
      </c>
      <c r="J6" s="2" t="s">
        <v>41</v>
      </c>
      <c r="K6" s="2">
        <f>SUMIFS(exchange_rate!$C:$C,exchange_rate!$A:$A, B6,exchange_rate!$B:$B, E6)</f>
        <v>1.2E-2</v>
      </c>
      <c r="L6" s="2">
        <f t="shared" si="0"/>
        <v>4680</v>
      </c>
      <c r="M6" t="str">
        <f>VLOOKUP(C6,CHOOSE({1,2},merchant_master!$B:$B,merchant_master!$A:$A),2,0)</f>
        <v>M001</v>
      </c>
      <c r="N6" t="str">
        <f>VLOOKUP(C6,CHOOSE({1,2},merchant_master!$B:$B,merchant_master!$C:$C),2,0)</f>
        <v>Aisha Khan</v>
      </c>
      <c r="O6" t="str">
        <f>VLOOKUP(C6,CHOOSE({1,2},merchant_master!$B:$B,merchant_master!$D:$D),2,0)</f>
        <v>Grocery</v>
      </c>
      <c r="P6" t="str">
        <f>VLOOKUP(C6,CHOOSE({1,2},merchant_master!$B:$B,merchant_master!$E:$E),2,0)</f>
        <v>APAC</v>
      </c>
      <c r="Q6" s="8">
        <f t="shared" si="1"/>
        <v>0</v>
      </c>
      <c r="R6" s="8">
        <f t="shared" si="2"/>
        <v>0</v>
      </c>
    </row>
    <row r="7" spans="1:18" x14ac:dyDescent="0.25">
      <c r="A7" s="2" t="s">
        <v>52</v>
      </c>
      <c r="B7" s="3">
        <v>46083</v>
      </c>
      <c r="C7" s="2" t="str">
        <f>TRIM(PROPER(transaction_raw!C7))</f>
        <v>Beta Stores</v>
      </c>
      <c r="D7" s="2">
        <v>275000</v>
      </c>
      <c r="E7" s="2" t="s">
        <v>38</v>
      </c>
      <c r="F7" s="10" t="str">
        <f>PROPER(TRIM(transaction_raw!F7))</f>
        <v>Captured</v>
      </c>
      <c r="G7" s="2">
        <f>VALUE(SUBSTITUTE(SUBSTITUTE(transaction_raw!G7, "score:", ""), "risk-", ""))</f>
        <v>64</v>
      </c>
      <c r="H7" s="10" t="str">
        <f>IF(TRIM(transaction_raw!H7)="", "NOT FOUND", UPPER(transaction_raw!H7))</f>
        <v>NOT FOUND</v>
      </c>
      <c r="I7" s="2" t="s">
        <v>53</v>
      </c>
      <c r="J7" s="2" t="s">
        <v>54</v>
      </c>
      <c r="K7" s="2">
        <f>SUMIFS(exchange_rate!$C:$C,exchange_rate!$A:$A, B7,exchange_rate!$B:$B, E7)</f>
        <v>1.2E-2</v>
      </c>
      <c r="L7" s="2">
        <f t="shared" si="0"/>
        <v>3300</v>
      </c>
      <c r="M7" t="str">
        <f>VLOOKUP(C7,CHOOSE({1,2},merchant_master!$B:$B,merchant_master!$A:$A),2,0)</f>
        <v>M002</v>
      </c>
      <c r="N7" t="str">
        <f>VLOOKUP(C7,CHOOSE({1,2},merchant_master!$B:$B,merchant_master!$C:$C),2,0)</f>
        <v>Rohan Mehta</v>
      </c>
      <c r="O7" t="str">
        <f>VLOOKUP(C7,CHOOSE({1,2},merchant_master!$B:$B,merchant_master!$D:$D),2,0)</f>
        <v>Electronics</v>
      </c>
      <c r="P7" t="str">
        <f>VLOOKUP(C7,CHOOSE({1,2},merchant_master!$B:$B,merchant_master!$E:$E),2,0)</f>
        <v>APAC</v>
      </c>
      <c r="Q7" s="8">
        <f t="shared" si="1"/>
        <v>0</v>
      </c>
      <c r="R7" s="8">
        <f t="shared" si="2"/>
        <v>0</v>
      </c>
    </row>
    <row r="8" spans="1:18" x14ac:dyDescent="0.25">
      <c r="A8" s="2" t="s">
        <v>55</v>
      </c>
      <c r="B8" s="3">
        <v>46083</v>
      </c>
      <c r="C8" s="2" t="str">
        <f>TRIM(PROPER(transaction_raw!C8))</f>
        <v>Alpha Mart</v>
      </c>
      <c r="D8" s="2">
        <v>450000</v>
      </c>
      <c r="E8" s="2" t="s">
        <v>38</v>
      </c>
      <c r="F8" s="10" t="str">
        <f>PROPER(TRIM(transaction_raw!F8))</f>
        <v>Chargeback</v>
      </c>
      <c r="G8" s="2">
        <f>VALUE(SUBSTITUTE(SUBSTITUTE(transaction_raw!G8, "score:", ""), "risk-", ""))</f>
        <v>83</v>
      </c>
      <c r="H8" s="10" t="str">
        <f>IF(TRIM(transaction_raw!H8)="", "NOT FOUND", UPPER(transaction_raw!H8))</f>
        <v xml:space="preserve"> APAC </v>
      </c>
      <c r="I8" s="2" t="s">
        <v>57</v>
      </c>
      <c r="J8" s="2" t="s">
        <v>44</v>
      </c>
      <c r="K8" s="2">
        <f>SUMIFS(exchange_rate!$C:$C,exchange_rate!$A:$A, B8,exchange_rate!$B:$B, E8)</f>
        <v>1.2E-2</v>
      </c>
      <c r="L8" s="2">
        <f t="shared" si="0"/>
        <v>5400</v>
      </c>
      <c r="M8" t="str">
        <f>VLOOKUP(C8,CHOOSE({1,2},merchant_master!$B:$B,merchant_master!$A:$A),2,0)</f>
        <v>M001</v>
      </c>
      <c r="N8" t="str">
        <f>VLOOKUP(C8,CHOOSE({1,2},merchant_master!$B:$B,merchant_master!$C:$C),2,0)</f>
        <v>Aisha Khan</v>
      </c>
      <c r="O8" t="str">
        <f>VLOOKUP(C8,CHOOSE({1,2},merchant_master!$B:$B,merchant_master!$D:$D),2,0)</f>
        <v>Grocery</v>
      </c>
      <c r="P8" t="str">
        <f>VLOOKUP(C8,CHOOSE({1,2},merchant_master!$B:$B,merchant_master!$E:$E),2,0)</f>
        <v>APAC</v>
      </c>
      <c r="Q8" s="8">
        <f t="shared" si="1"/>
        <v>1</v>
      </c>
      <c r="R8" s="8">
        <f t="shared" si="2"/>
        <v>1</v>
      </c>
    </row>
    <row r="9" spans="1:18" x14ac:dyDescent="0.25">
      <c r="A9" s="2" t="s">
        <v>58</v>
      </c>
      <c r="B9" s="3">
        <v>46084</v>
      </c>
      <c r="C9" s="2" t="str">
        <f>TRIM(PROPER(transaction_raw!C9))</f>
        <v>Beta Stores</v>
      </c>
      <c r="D9" s="2">
        <v>340000</v>
      </c>
      <c r="E9" s="2" t="s">
        <v>38</v>
      </c>
      <c r="F9" s="10" t="str">
        <f>PROPER(TRIM(transaction_raw!F9))</f>
        <v>Captured</v>
      </c>
      <c r="G9" s="2">
        <f>VALUE(SUBSTITUTE(SUBSTITUTE(transaction_raw!G9, "score:", ""), "risk-", ""))</f>
        <v>59</v>
      </c>
      <c r="H9" s="10" t="str">
        <f>IF(TRIM(transaction_raw!H9)="", "NOT FOUND", UPPER(transaction_raw!H9))</f>
        <v>NOT FOUND</v>
      </c>
      <c r="I9" s="2" t="s">
        <v>59</v>
      </c>
      <c r="J9" s="2" t="s">
        <v>41</v>
      </c>
      <c r="K9" s="2">
        <f>SUMIFS(exchange_rate!$C:$C,exchange_rate!$A:$A, B9,exchange_rate!$B:$B, E9)</f>
        <v>1.21E-2</v>
      </c>
      <c r="L9" s="2">
        <f t="shared" si="0"/>
        <v>4114</v>
      </c>
      <c r="M9" t="str">
        <f>VLOOKUP(C9,CHOOSE({1,2},merchant_master!$B:$B,merchant_master!$A:$A),2,0)</f>
        <v>M002</v>
      </c>
      <c r="N9" t="str">
        <f>VLOOKUP(C9,CHOOSE({1,2},merchant_master!$B:$B,merchant_master!$C:$C),2,0)</f>
        <v>Rohan Mehta</v>
      </c>
      <c r="O9" t="str">
        <f>VLOOKUP(C9,CHOOSE({1,2},merchant_master!$B:$B,merchant_master!$D:$D),2,0)</f>
        <v>Electronics</v>
      </c>
      <c r="P9" t="str">
        <f>VLOOKUP(C9,CHOOSE({1,2},merchant_master!$B:$B,merchant_master!$E:$E),2,0)</f>
        <v>APAC</v>
      </c>
      <c r="Q9" s="8">
        <f t="shared" si="1"/>
        <v>0</v>
      </c>
      <c r="R9" s="8">
        <f t="shared" si="2"/>
        <v>0</v>
      </c>
    </row>
    <row r="10" spans="1:18" x14ac:dyDescent="0.25">
      <c r="A10" s="2" t="s">
        <v>60</v>
      </c>
      <c r="B10" s="3">
        <v>46084</v>
      </c>
      <c r="C10" s="2" t="str">
        <f>TRIM(PROPER(transaction_raw!C10))</f>
        <v>Alpha Mart</v>
      </c>
      <c r="D10" s="2">
        <v>125000</v>
      </c>
      <c r="E10" s="2" t="s">
        <v>38</v>
      </c>
      <c r="F10" s="10" t="str">
        <f>PROPER(TRIM(transaction_raw!F10))</f>
        <v>Captured</v>
      </c>
      <c r="G10" s="2">
        <f>VALUE(SUBSTITUTE(SUBSTITUTE(transaction_raw!G10, "score:", ""), "risk-", ""))</f>
        <v>46</v>
      </c>
      <c r="H10" s="10" t="str">
        <f>IF(TRIM(transaction_raw!H10)="", "NOT FOUND", UPPER(transaction_raw!H10))</f>
        <v>APAC</v>
      </c>
      <c r="I10" s="2" t="s">
        <v>43</v>
      </c>
      <c r="J10" s="2" t="s">
        <v>54</v>
      </c>
      <c r="K10" s="2">
        <f>SUMIFS(exchange_rate!$C:$C,exchange_rate!$A:$A, B10,exchange_rate!$B:$B, E10)</f>
        <v>1.21E-2</v>
      </c>
      <c r="L10" s="2">
        <f t="shared" si="0"/>
        <v>1512.5</v>
      </c>
      <c r="M10" t="str">
        <f>VLOOKUP(C10,CHOOSE({1,2},merchant_master!$B:$B,merchant_master!$A:$A),2,0)</f>
        <v>M001</v>
      </c>
      <c r="N10" t="str">
        <f>VLOOKUP(C10,CHOOSE({1,2},merchant_master!$B:$B,merchant_master!$C:$C),2,0)</f>
        <v>Aisha Khan</v>
      </c>
      <c r="O10" t="str">
        <f>VLOOKUP(C10,CHOOSE({1,2},merchant_master!$B:$B,merchant_master!$D:$D),2,0)</f>
        <v>Grocery</v>
      </c>
      <c r="P10" t="str">
        <f>VLOOKUP(C10,CHOOSE({1,2},merchant_master!$B:$B,merchant_master!$E:$E),2,0)</f>
        <v>APAC</v>
      </c>
      <c r="Q10" s="8">
        <f t="shared" si="1"/>
        <v>0</v>
      </c>
      <c r="R10" s="8">
        <f t="shared" si="2"/>
        <v>0</v>
      </c>
    </row>
    <row r="11" spans="1:18" x14ac:dyDescent="0.25">
      <c r="A11" s="2" t="s">
        <v>61</v>
      </c>
      <c r="B11" s="3">
        <v>46084</v>
      </c>
      <c r="C11" s="2" t="str">
        <f>TRIM(PROPER(transaction_raw!C11))</f>
        <v>Beta Stores</v>
      </c>
      <c r="D11" s="2">
        <v>610000</v>
      </c>
      <c r="E11" s="2" t="s">
        <v>38</v>
      </c>
      <c r="F11" s="10" t="str">
        <f>PROPER(TRIM(transaction_raw!F11))</f>
        <v>Captured</v>
      </c>
      <c r="G11" s="2">
        <f>VALUE(SUBSTITUTE(SUBSTITUTE(transaction_raw!G11, "score:", ""), "risk-", ""))</f>
        <v>77</v>
      </c>
      <c r="H11" s="10" t="str">
        <f>IF(TRIM(transaction_raw!H11)="", "NOT FOUND", UPPER(transaction_raw!H11))</f>
        <v>NOT FOUND</v>
      </c>
      <c r="I11" s="2" t="s">
        <v>46</v>
      </c>
      <c r="J11" s="2" t="s">
        <v>44</v>
      </c>
      <c r="K11" s="2">
        <f>SUMIFS(exchange_rate!$C:$C,exchange_rate!$A:$A, B11,exchange_rate!$B:$B, E11)</f>
        <v>1.21E-2</v>
      </c>
      <c r="L11" s="2">
        <f t="shared" si="0"/>
        <v>7381</v>
      </c>
      <c r="M11" t="str">
        <f>VLOOKUP(C11,CHOOSE({1,2},merchant_master!$B:$B,merchant_master!$A:$A),2,0)</f>
        <v>M002</v>
      </c>
      <c r="N11" t="str">
        <f>VLOOKUP(C11,CHOOSE({1,2},merchant_master!$B:$B,merchant_master!$C:$C),2,0)</f>
        <v>Rohan Mehta</v>
      </c>
      <c r="O11" t="str">
        <f>VLOOKUP(C11,CHOOSE({1,2},merchant_master!$B:$B,merchant_master!$D:$D),2,0)</f>
        <v>Electronics</v>
      </c>
      <c r="P11" t="str">
        <f>VLOOKUP(C11,CHOOSE({1,2},merchant_master!$B:$B,merchant_master!$E:$E),2,0)</f>
        <v>APAC</v>
      </c>
      <c r="Q11" s="8">
        <f t="shared" si="1"/>
        <v>1</v>
      </c>
      <c r="R11" s="8">
        <f t="shared" si="2"/>
        <v>1</v>
      </c>
    </row>
    <row r="12" spans="1:18" x14ac:dyDescent="0.25">
      <c r="A12" s="2" t="s">
        <v>62</v>
      </c>
      <c r="B12" s="3">
        <v>46084</v>
      </c>
      <c r="C12" s="2" t="str">
        <f>TRIM(PROPER(transaction_raw!C12))</f>
        <v>Alpha Mart</v>
      </c>
      <c r="D12" s="2">
        <v>195000</v>
      </c>
      <c r="E12" s="2" t="s">
        <v>38</v>
      </c>
      <c r="F12" s="10" t="str">
        <f>PROPER(TRIM(transaction_raw!F12))</f>
        <v>Failed E05 Timeout</v>
      </c>
      <c r="G12" s="4">
        <f>AVERAGE(G2:G11,G13:G31)</f>
        <v>60.655172413793103</v>
      </c>
      <c r="H12" s="10" t="str">
        <f>IF(TRIM(transaction_raw!H12)="", "NOT FOUND", UPPER(transaction_raw!H12))</f>
        <v>NOT FOUND</v>
      </c>
      <c r="I12" s="2" t="s">
        <v>63</v>
      </c>
      <c r="J12" s="2" t="s">
        <v>41</v>
      </c>
      <c r="K12" s="2">
        <f>SUMIFS(exchange_rate!$C:$C,exchange_rate!$A:$A, B12,exchange_rate!$B:$B, E12)</f>
        <v>1.21E-2</v>
      </c>
      <c r="L12" s="2">
        <f t="shared" si="0"/>
        <v>2359.5</v>
      </c>
      <c r="M12" t="str">
        <f>VLOOKUP(C12,CHOOSE({1,2},merchant_master!$B:$B,merchant_master!$A:$A),2,0)</f>
        <v>M001</v>
      </c>
      <c r="N12" t="str">
        <f>VLOOKUP(C12,CHOOSE({1,2},merchant_master!$B:$B,merchant_master!$C:$C),2,0)</f>
        <v>Aisha Khan</v>
      </c>
      <c r="O12" t="str">
        <f>VLOOKUP(C12,CHOOSE({1,2},merchant_master!$B:$B,merchant_master!$D:$D),2,0)</f>
        <v>Grocery</v>
      </c>
      <c r="P12" t="str">
        <f>VLOOKUP(C12,CHOOSE({1,2},merchant_master!$B:$B,merchant_master!$E:$E),2,0)</f>
        <v>APAC</v>
      </c>
      <c r="Q12" s="8">
        <f t="shared" si="1"/>
        <v>0</v>
      </c>
      <c r="R12" s="8">
        <f>IF(OR(G12 &gt;= 70, ISNUMBER(SEARCH("chargeback", F12))), 1, 0)</f>
        <v>0</v>
      </c>
    </row>
    <row r="13" spans="1:18" x14ac:dyDescent="0.25">
      <c r="A13" s="2" t="s">
        <v>64</v>
      </c>
      <c r="B13" s="3">
        <v>46085</v>
      </c>
      <c r="C13" s="2" t="str">
        <f>TRIM(PROPER(transaction_raw!C13))</f>
        <v>Beta Stores</v>
      </c>
      <c r="D13" s="2">
        <v>250000</v>
      </c>
      <c r="E13" s="2" t="s">
        <v>38</v>
      </c>
      <c r="F13" s="10" t="str">
        <f>PROPER(TRIM(transaction_raw!F13))</f>
        <v>Captured</v>
      </c>
      <c r="G13" s="2">
        <f>VALUE(SUBSTITUTE(SUBSTITUTE(transaction_raw!G13, "score:", ""), "risk-", ""))</f>
        <v>61</v>
      </c>
      <c r="H13" s="10" t="str">
        <f>IF(TRIM(transaction_raw!H13)="", "NOT FOUND", UPPER(transaction_raw!H13))</f>
        <v xml:space="preserve"> APAC </v>
      </c>
      <c r="I13" s="2" t="s">
        <v>65</v>
      </c>
      <c r="J13" s="2" t="s">
        <v>44</v>
      </c>
      <c r="K13" s="2">
        <f>SUMIFS(exchange_rate!$C:$C,exchange_rate!$A:$A, B13,exchange_rate!$B:$B, E13)</f>
        <v>1.2E-2</v>
      </c>
      <c r="L13" s="2">
        <f t="shared" si="0"/>
        <v>3000</v>
      </c>
      <c r="M13" t="str">
        <f>VLOOKUP(C13,CHOOSE({1,2},merchant_master!$B:$B,merchant_master!$A:$A),2,0)</f>
        <v>M002</v>
      </c>
      <c r="N13" t="str">
        <f>VLOOKUP(C13,CHOOSE({1,2},merchant_master!$B:$B,merchant_master!$C:$C),2,0)</f>
        <v>Rohan Mehta</v>
      </c>
      <c r="O13" t="str">
        <f>VLOOKUP(C13,CHOOSE({1,2},merchant_master!$B:$B,merchant_master!$D:$D),2,0)</f>
        <v>Electronics</v>
      </c>
      <c r="P13" t="str">
        <f>VLOOKUP(C13,CHOOSE({1,2},merchant_master!$B:$B,merchant_master!$E:$E),2,0)</f>
        <v>APAC</v>
      </c>
      <c r="Q13" s="8">
        <f t="shared" si="1"/>
        <v>0</v>
      </c>
      <c r="R13" s="8">
        <f t="shared" si="2"/>
        <v>0</v>
      </c>
    </row>
    <row r="14" spans="1:18" x14ac:dyDescent="0.25">
      <c r="A14" s="2" t="s">
        <v>66</v>
      </c>
      <c r="B14" s="3">
        <v>46085</v>
      </c>
      <c r="C14" s="2" t="str">
        <f>TRIM(PROPER(transaction_raw!C14))</f>
        <v>Alpha Mart</v>
      </c>
      <c r="D14" s="2">
        <v>310000</v>
      </c>
      <c r="E14" s="2" t="s">
        <v>38</v>
      </c>
      <c r="F14" s="10" t="str">
        <f>PROPER(TRIM(transaction_raw!F14))</f>
        <v>Captured</v>
      </c>
      <c r="G14" s="2">
        <f>VALUE(SUBSTITUTE(SUBSTITUTE(transaction_raw!G14, "score:", ""), "risk-", ""))</f>
        <v>54</v>
      </c>
      <c r="H14" s="10" t="str">
        <f>IF(TRIM(transaction_raw!H14)="", "NOT FOUND", UPPER(transaction_raw!H14))</f>
        <v>APAC</v>
      </c>
      <c r="I14" s="2" t="s">
        <v>67</v>
      </c>
      <c r="J14" s="2" t="s">
        <v>41</v>
      </c>
      <c r="K14" s="2">
        <f>SUMIFS(exchange_rate!$C:$C,exchange_rate!$A:$A, B14,exchange_rate!$B:$B, E14)</f>
        <v>1.2E-2</v>
      </c>
      <c r="L14" s="2">
        <f t="shared" si="0"/>
        <v>3720</v>
      </c>
      <c r="M14" t="str">
        <f>VLOOKUP(C14,CHOOSE({1,2},merchant_master!$B:$B,merchant_master!$A:$A),2,0)</f>
        <v>M001</v>
      </c>
      <c r="N14" t="str">
        <f>VLOOKUP(C14,CHOOSE({1,2},merchant_master!$B:$B,merchant_master!$C:$C),2,0)</f>
        <v>Aisha Khan</v>
      </c>
      <c r="O14" t="str">
        <f>VLOOKUP(C14,CHOOSE({1,2},merchant_master!$B:$B,merchant_master!$D:$D),2,0)</f>
        <v>Grocery</v>
      </c>
      <c r="P14" t="str">
        <f>VLOOKUP(C14,CHOOSE({1,2},merchant_master!$B:$B,merchant_master!$E:$E),2,0)</f>
        <v>APAC</v>
      </c>
      <c r="Q14" s="8">
        <f t="shared" si="1"/>
        <v>0</v>
      </c>
      <c r="R14" s="8">
        <f t="shared" si="2"/>
        <v>0</v>
      </c>
    </row>
    <row r="15" spans="1:18" x14ac:dyDescent="0.25">
      <c r="A15" s="2" t="s">
        <v>68</v>
      </c>
      <c r="B15" s="3">
        <v>46085</v>
      </c>
      <c r="C15" s="2" t="str">
        <f>TRIM(PROPER(transaction_raw!C15))</f>
        <v>Beta Stores</v>
      </c>
      <c r="D15" s="2">
        <v>470000</v>
      </c>
      <c r="E15" s="2" t="s">
        <v>38</v>
      </c>
      <c r="F15" s="10" t="str">
        <f>PROPER(TRIM(transaction_raw!F15))</f>
        <v>Captured</v>
      </c>
      <c r="G15" s="2">
        <f>VALUE(SUBSTITUTE(SUBSTITUTE(transaction_raw!G15, "score:", ""), "risk-", ""))</f>
        <v>73</v>
      </c>
      <c r="H15" s="10" t="str">
        <f>IF(TRIM(transaction_raw!H15)="", "NOT FOUND", UPPER(transaction_raw!H15))</f>
        <v>APAC</v>
      </c>
      <c r="I15" s="2" t="s">
        <v>40</v>
      </c>
      <c r="J15" s="2" t="s">
        <v>47</v>
      </c>
      <c r="K15" s="2">
        <f>SUMIFS(exchange_rate!$C:$C,exchange_rate!$A:$A, B15,exchange_rate!$B:$B, E15)</f>
        <v>1.2E-2</v>
      </c>
      <c r="L15" s="2">
        <f t="shared" si="0"/>
        <v>5640</v>
      </c>
      <c r="M15" t="str">
        <f>VLOOKUP(C15,CHOOSE({1,2},merchant_master!$B:$B,merchant_master!$A:$A),2,0)</f>
        <v>M002</v>
      </c>
      <c r="N15" t="str">
        <f>VLOOKUP(C15,CHOOSE({1,2},merchant_master!$B:$B,merchant_master!$C:$C),2,0)</f>
        <v>Rohan Mehta</v>
      </c>
      <c r="O15" t="str">
        <f>VLOOKUP(C15,CHOOSE({1,2},merchant_master!$B:$B,merchant_master!$D:$D),2,0)</f>
        <v>Electronics</v>
      </c>
      <c r="P15" t="str">
        <f>VLOOKUP(C15,CHOOSE({1,2},merchant_master!$B:$B,merchant_master!$E:$E),2,0)</f>
        <v>APAC</v>
      </c>
      <c r="Q15" s="8">
        <f t="shared" si="1"/>
        <v>1</v>
      </c>
      <c r="R15" s="8">
        <f t="shared" si="2"/>
        <v>1</v>
      </c>
    </row>
    <row r="16" spans="1:18" x14ac:dyDescent="0.25">
      <c r="A16" s="2" t="s">
        <v>69</v>
      </c>
      <c r="B16" s="3">
        <v>46085</v>
      </c>
      <c r="C16" s="2" t="str">
        <f>TRIM(PROPER(transaction_raw!C16))</f>
        <v>Alpha Mart</v>
      </c>
      <c r="D16" s="2">
        <v>130000</v>
      </c>
      <c r="E16" s="2" t="s">
        <v>38</v>
      </c>
      <c r="F16" s="10" t="str">
        <f>PROPER(TRIM(transaction_raw!F16))</f>
        <v>Captured</v>
      </c>
      <c r="G16" s="2">
        <f>VALUE(SUBSTITUTE(SUBSTITUTE(transaction_raw!G16, "score:", ""), "risk-", ""))</f>
        <v>52</v>
      </c>
      <c r="H16" s="10" t="str">
        <f>IF(TRIM(transaction_raw!H16)="", "NOT FOUND", UPPER(transaction_raw!H16))</f>
        <v>NOT FOUND</v>
      </c>
      <c r="I16" s="2" t="s">
        <v>43</v>
      </c>
      <c r="J16" s="2" t="s">
        <v>44</v>
      </c>
      <c r="K16" s="2">
        <f>SUMIFS(exchange_rate!$C:$C,exchange_rate!$A:$A, B16,exchange_rate!$B:$B, E16)</f>
        <v>1.2E-2</v>
      </c>
      <c r="L16" s="2">
        <f t="shared" si="0"/>
        <v>1560</v>
      </c>
      <c r="M16" t="str">
        <f>VLOOKUP(C16,CHOOSE({1,2},merchant_master!$B:$B,merchant_master!$A:$A),2,0)</f>
        <v>M001</v>
      </c>
      <c r="N16" t="str">
        <f>VLOOKUP(C16,CHOOSE({1,2},merchant_master!$B:$B,merchant_master!$C:$C),2,0)</f>
        <v>Aisha Khan</v>
      </c>
      <c r="O16" t="str">
        <f>VLOOKUP(C16,CHOOSE({1,2},merchant_master!$B:$B,merchant_master!$D:$D),2,0)</f>
        <v>Grocery</v>
      </c>
      <c r="P16" t="str">
        <f>VLOOKUP(C16,CHOOSE({1,2},merchant_master!$B:$B,merchant_master!$E:$E),2,0)</f>
        <v>APAC</v>
      </c>
      <c r="Q16" s="8">
        <f t="shared" si="1"/>
        <v>0</v>
      </c>
      <c r="R16" s="8">
        <f t="shared" si="2"/>
        <v>0</v>
      </c>
    </row>
    <row r="17" spans="1:18" x14ac:dyDescent="0.25">
      <c r="A17" s="2" t="s">
        <v>70</v>
      </c>
      <c r="B17" s="3">
        <v>46086</v>
      </c>
      <c r="C17" s="2" t="str">
        <f>TRIM(PROPER(transaction_raw!C17))</f>
        <v>Beta Stores</v>
      </c>
      <c r="D17" s="2">
        <v>220000</v>
      </c>
      <c r="E17" s="2" t="s">
        <v>38</v>
      </c>
      <c r="F17" s="10" t="str">
        <f>PROPER(TRIM(transaction_raw!F17))</f>
        <v>Failed E05 Timeout</v>
      </c>
      <c r="G17" s="2">
        <f>VALUE(SUBSTITUTE(SUBSTITUTE(transaction_raw!G17, "score:", ""), "risk-", ""))</f>
        <v>69</v>
      </c>
      <c r="H17" s="10" t="str">
        <f>IF(TRIM(transaction_raw!H17)="", "NOT FOUND", UPPER(transaction_raw!H17))</f>
        <v>NOT FOUND</v>
      </c>
      <c r="I17" s="2" t="s">
        <v>63</v>
      </c>
      <c r="J17" s="2" t="s">
        <v>44</v>
      </c>
      <c r="K17" s="2">
        <f>SUMIFS(exchange_rate!$C:$C,exchange_rate!$A:$A, B17,exchange_rate!$B:$B, E17)</f>
        <v>1.18E-2</v>
      </c>
      <c r="L17" s="2">
        <f t="shared" si="0"/>
        <v>2596</v>
      </c>
      <c r="M17" t="str">
        <f>VLOOKUP(C17,CHOOSE({1,2},merchant_master!$B:$B,merchant_master!$A:$A),2,0)</f>
        <v>M002</v>
      </c>
      <c r="N17" t="str">
        <f>VLOOKUP(C17,CHOOSE({1,2},merchant_master!$B:$B,merchant_master!$C:$C),2,0)</f>
        <v>Rohan Mehta</v>
      </c>
      <c r="O17" t="str">
        <f>VLOOKUP(C17,CHOOSE({1,2},merchant_master!$B:$B,merchant_master!$D:$D),2,0)</f>
        <v>Electronics</v>
      </c>
      <c r="P17" t="str">
        <f>VLOOKUP(C17,CHOOSE({1,2},merchant_master!$B:$B,merchant_master!$E:$E),2,0)</f>
        <v>APAC</v>
      </c>
      <c r="Q17" s="8">
        <f t="shared" si="1"/>
        <v>0</v>
      </c>
      <c r="R17" s="8">
        <f t="shared" si="2"/>
        <v>0</v>
      </c>
    </row>
    <row r="18" spans="1:18" x14ac:dyDescent="0.25">
      <c r="A18" s="2" t="s">
        <v>71</v>
      </c>
      <c r="B18" s="3">
        <v>46086</v>
      </c>
      <c r="C18" s="2" t="str">
        <f>TRIM(PROPER(transaction_raw!C18))</f>
        <v>Beta Stores</v>
      </c>
      <c r="D18" s="2">
        <v>180000</v>
      </c>
      <c r="E18" s="2" t="s">
        <v>38</v>
      </c>
      <c r="F18" s="10" t="str">
        <f>PROPER(TRIM(transaction_raw!F18))</f>
        <v>Failed E05 Timeout</v>
      </c>
      <c r="G18" s="2">
        <f>VALUE(SUBSTITUTE(SUBSTITUTE(transaction_raw!G18, "score:", ""), "risk-", ""))</f>
        <v>72</v>
      </c>
      <c r="H18" s="10" t="str">
        <f>IF(TRIM(transaction_raw!H18)="", "NOT FOUND", UPPER(transaction_raw!H18))</f>
        <v>APAC</v>
      </c>
      <c r="I18" s="2" t="s">
        <v>63</v>
      </c>
      <c r="J18" s="2" t="s">
        <v>44</v>
      </c>
      <c r="K18" s="2">
        <f>SUMIFS(exchange_rate!$C:$C,exchange_rate!$A:$A, B18,exchange_rate!$B:$B, E18)</f>
        <v>1.18E-2</v>
      </c>
      <c r="L18" s="2">
        <f t="shared" si="0"/>
        <v>2124</v>
      </c>
      <c r="M18" t="str">
        <f>VLOOKUP(C18,CHOOSE({1,2},merchant_master!$B:$B,merchant_master!$A:$A),2,0)</f>
        <v>M002</v>
      </c>
      <c r="N18" t="str">
        <f>VLOOKUP(C18,CHOOSE({1,2},merchant_master!$B:$B,merchant_master!$C:$C),2,0)</f>
        <v>Rohan Mehta</v>
      </c>
      <c r="O18" t="str">
        <f>VLOOKUP(C18,CHOOSE({1,2},merchant_master!$B:$B,merchant_master!$D:$D),2,0)</f>
        <v>Electronics</v>
      </c>
      <c r="P18" t="str">
        <f>VLOOKUP(C18,CHOOSE({1,2},merchant_master!$B:$B,merchant_master!$E:$E),2,0)</f>
        <v>APAC</v>
      </c>
      <c r="Q18" s="8">
        <f t="shared" si="1"/>
        <v>0</v>
      </c>
      <c r="R18" s="8">
        <f t="shared" si="2"/>
        <v>1</v>
      </c>
    </row>
    <row r="19" spans="1:18" x14ac:dyDescent="0.25">
      <c r="A19" s="2" t="s">
        <v>72</v>
      </c>
      <c r="B19" s="3">
        <v>46086</v>
      </c>
      <c r="C19" s="2" t="str">
        <f>TRIM(PROPER(transaction_raw!C19))</f>
        <v>Beta Stores</v>
      </c>
      <c r="D19" s="2">
        <v>145000</v>
      </c>
      <c r="E19" s="2" t="s">
        <v>38</v>
      </c>
      <c r="F19" s="10" t="str">
        <f>PROPER(TRIM(transaction_raw!F19))</f>
        <v>Chargeback</v>
      </c>
      <c r="G19" s="2">
        <f>VALUE(SUBSTITUTE(SUBSTITUTE(transaction_raw!G19, "score:", ""), "risk-", ""))</f>
        <v>86</v>
      </c>
      <c r="H19" s="10" t="str">
        <f>IF(TRIM(transaction_raw!H19)="", "NOT FOUND", UPPER(transaction_raw!H19))</f>
        <v xml:space="preserve"> APAC </v>
      </c>
      <c r="I19" s="2" t="s">
        <v>63</v>
      </c>
      <c r="J19" s="2" t="s">
        <v>41</v>
      </c>
      <c r="K19" s="2">
        <f>SUMIFS(exchange_rate!$C:$C,exchange_rate!$A:$A, B19,exchange_rate!$B:$B, E19)</f>
        <v>1.18E-2</v>
      </c>
      <c r="L19" s="2">
        <f t="shared" si="0"/>
        <v>1711</v>
      </c>
      <c r="M19" t="str">
        <f>VLOOKUP(C19,CHOOSE({1,2},merchant_master!$B:$B,merchant_master!$A:$A),2,0)</f>
        <v>M002</v>
      </c>
      <c r="N19" t="str">
        <f>VLOOKUP(C19,CHOOSE({1,2},merchant_master!$B:$B,merchant_master!$C:$C),2,0)</f>
        <v>Rohan Mehta</v>
      </c>
      <c r="O19" t="str">
        <f>VLOOKUP(C19,CHOOSE({1,2},merchant_master!$B:$B,merchant_master!$D:$D),2,0)</f>
        <v>Electronics</v>
      </c>
      <c r="P19" t="str">
        <f>VLOOKUP(C19,CHOOSE({1,2},merchant_master!$B:$B,merchant_master!$E:$E),2,0)</f>
        <v>APAC</v>
      </c>
      <c r="Q19" s="8">
        <f t="shared" si="1"/>
        <v>0</v>
      </c>
      <c r="R19" s="8">
        <f t="shared" si="2"/>
        <v>1</v>
      </c>
    </row>
    <row r="20" spans="1:18" x14ac:dyDescent="0.25">
      <c r="A20" s="2" t="s">
        <v>73</v>
      </c>
      <c r="B20" s="3">
        <v>46086</v>
      </c>
      <c r="C20" s="2" t="str">
        <f>TRIM(PROPER(transaction_raw!C20))</f>
        <v>Alpha Mart</v>
      </c>
      <c r="D20" s="2">
        <v>260000</v>
      </c>
      <c r="E20" s="2" t="s">
        <v>38</v>
      </c>
      <c r="F20" s="10" t="str">
        <f>PROPER(TRIM(transaction_raw!F20))</f>
        <v>Failed E05 Timeout</v>
      </c>
      <c r="G20" s="2">
        <f>VALUE(SUBSTITUTE(SUBSTITUTE(transaction_raw!G20, "score:", ""), "risk-", ""))</f>
        <v>67</v>
      </c>
      <c r="H20" s="10" t="str">
        <f>IF(TRIM(transaction_raw!H20)="", "NOT FOUND", UPPER(transaction_raw!H20))</f>
        <v>APAC</v>
      </c>
      <c r="I20" s="2" t="s">
        <v>63</v>
      </c>
      <c r="J20" s="2" t="s">
        <v>54</v>
      </c>
      <c r="K20" s="2">
        <f>SUMIFS(exchange_rate!$C:$C,exchange_rate!$A:$A, B20,exchange_rate!$B:$B, E20)</f>
        <v>1.18E-2</v>
      </c>
      <c r="L20" s="2">
        <f t="shared" si="0"/>
        <v>3068</v>
      </c>
      <c r="M20" t="str">
        <f>VLOOKUP(C20,CHOOSE({1,2},merchant_master!$B:$B,merchant_master!$A:$A),2,0)</f>
        <v>M001</v>
      </c>
      <c r="N20" t="str">
        <f>VLOOKUP(C20,CHOOSE({1,2},merchant_master!$B:$B,merchant_master!$C:$C),2,0)</f>
        <v>Aisha Khan</v>
      </c>
      <c r="O20" t="str">
        <f>VLOOKUP(C20,CHOOSE({1,2},merchant_master!$B:$B,merchant_master!$D:$D),2,0)</f>
        <v>Grocery</v>
      </c>
      <c r="P20" t="str">
        <f>VLOOKUP(C20,CHOOSE({1,2},merchant_master!$B:$B,merchant_master!$E:$E),2,0)</f>
        <v>APAC</v>
      </c>
      <c r="Q20" s="8">
        <f t="shared" si="1"/>
        <v>0</v>
      </c>
      <c r="R20" s="8">
        <f t="shared" si="2"/>
        <v>0</v>
      </c>
    </row>
    <row r="21" spans="1:18" x14ac:dyDescent="0.25">
      <c r="A21" s="2" t="s">
        <v>74</v>
      </c>
      <c r="B21" s="3">
        <v>46086</v>
      </c>
      <c r="C21" s="2" t="str">
        <f>TRIM(PROPER(transaction_raw!C21))</f>
        <v>Alpha Mart</v>
      </c>
      <c r="D21" s="2">
        <v>520000</v>
      </c>
      <c r="E21" s="2" t="s">
        <v>38</v>
      </c>
      <c r="F21" s="10" t="str">
        <f>PROPER(TRIM(transaction_raw!F21))</f>
        <v>Captured</v>
      </c>
      <c r="G21" s="2">
        <f>VALUE(SUBSTITUTE(SUBSTITUTE(transaction_raw!G21, "score:", ""), "risk-", ""))</f>
        <v>75</v>
      </c>
      <c r="H21" s="10" t="str">
        <f>IF(TRIM(transaction_raw!H21)="", "NOT FOUND", UPPER(transaction_raw!H21))</f>
        <v>APAC</v>
      </c>
      <c r="I21" s="2" t="s">
        <v>53</v>
      </c>
      <c r="J21" s="2" t="s">
        <v>41</v>
      </c>
      <c r="K21" s="2">
        <f>SUMIFS(exchange_rate!$C:$C,exchange_rate!$A:$A, B21,exchange_rate!$B:$B, E21)</f>
        <v>1.18E-2</v>
      </c>
      <c r="L21" s="2">
        <f t="shared" si="0"/>
        <v>6136</v>
      </c>
      <c r="M21" t="str">
        <f>VLOOKUP(C21,CHOOSE({1,2},merchant_master!$B:$B,merchant_master!$A:$A),2,0)</f>
        <v>M001</v>
      </c>
      <c r="N21" t="str">
        <f>VLOOKUP(C21,CHOOSE({1,2},merchant_master!$B:$B,merchant_master!$C:$C),2,0)</f>
        <v>Aisha Khan</v>
      </c>
      <c r="O21" t="str">
        <f>VLOOKUP(C21,CHOOSE({1,2},merchant_master!$B:$B,merchant_master!$D:$D),2,0)</f>
        <v>Grocery</v>
      </c>
      <c r="P21" t="str">
        <f>VLOOKUP(C21,CHOOSE({1,2},merchant_master!$B:$B,merchant_master!$E:$E),2,0)</f>
        <v>APAC</v>
      </c>
      <c r="Q21" s="8">
        <f t="shared" si="1"/>
        <v>1</v>
      </c>
      <c r="R21" s="8">
        <f t="shared" si="2"/>
        <v>1</v>
      </c>
    </row>
    <row r="22" spans="1:18" x14ac:dyDescent="0.25">
      <c r="A22" s="2" t="s">
        <v>75</v>
      </c>
      <c r="B22" s="3">
        <v>46087</v>
      </c>
      <c r="C22" s="2" t="str">
        <f>TRIM(PROPER(transaction_raw!C22))</f>
        <v>Beta Stores</v>
      </c>
      <c r="D22" s="2">
        <v>330000</v>
      </c>
      <c r="E22" s="2" t="s">
        <v>38</v>
      </c>
      <c r="F22" s="10" t="str">
        <f>PROPER(TRIM(transaction_raw!F22))</f>
        <v>Captured</v>
      </c>
      <c r="G22" s="2">
        <f>VALUE(SUBSTITUTE(SUBSTITUTE(transaction_raw!G22, "score:", ""), "risk-", ""))</f>
        <v>63</v>
      </c>
      <c r="H22" s="10" t="str">
        <f>IF(TRIM(transaction_raw!H22)="", "NOT FOUND", UPPER(transaction_raw!H22))</f>
        <v>NOT FOUND</v>
      </c>
      <c r="I22" s="2" t="s">
        <v>57</v>
      </c>
      <c r="J22" s="2" t="s">
        <v>44</v>
      </c>
      <c r="K22" s="2">
        <f>SUMIFS(exchange_rate!$C:$C,exchange_rate!$A:$A, B22,exchange_rate!$B:$B, E22)</f>
        <v>1.1900000000000001E-2</v>
      </c>
      <c r="L22" s="2">
        <f t="shared" si="0"/>
        <v>3927.0000000000005</v>
      </c>
      <c r="M22" t="str">
        <f>VLOOKUP(C22,CHOOSE({1,2},merchant_master!$B:$B,merchant_master!$A:$A),2,0)</f>
        <v>M002</v>
      </c>
      <c r="N22" t="str">
        <f>VLOOKUP(C22,CHOOSE({1,2},merchant_master!$B:$B,merchant_master!$C:$C),2,0)</f>
        <v>Rohan Mehta</v>
      </c>
      <c r="O22" t="str">
        <f>VLOOKUP(C22,CHOOSE({1,2},merchant_master!$B:$B,merchant_master!$D:$D),2,0)</f>
        <v>Electronics</v>
      </c>
      <c r="P22" t="str">
        <f>VLOOKUP(C22,CHOOSE({1,2},merchant_master!$B:$B,merchant_master!$E:$E),2,0)</f>
        <v>APAC</v>
      </c>
      <c r="Q22" s="8">
        <f t="shared" si="1"/>
        <v>0</v>
      </c>
      <c r="R22" s="8">
        <f t="shared" si="2"/>
        <v>0</v>
      </c>
    </row>
    <row r="23" spans="1:18" x14ac:dyDescent="0.25">
      <c r="A23" s="2" t="s">
        <v>76</v>
      </c>
      <c r="B23" s="3">
        <v>46087</v>
      </c>
      <c r="C23" s="2" t="str">
        <f>TRIM(PROPER(transaction_raw!C23))</f>
        <v>Alpha Mart</v>
      </c>
      <c r="D23" s="2">
        <v>410000</v>
      </c>
      <c r="E23" s="2" t="s">
        <v>38</v>
      </c>
      <c r="F23" s="10" t="str">
        <f>PROPER(TRIM(transaction_raw!F23))</f>
        <v>Captured</v>
      </c>
      <c r="G23" s="2">
        <f>VALUE(SUBSTITUTE(SUBSTITUTE(transaction_raw!G23, "score:", ""), "risk-", ""))</f>
        <v>60</v>
      </c>
      <c r="H23" s="10" t="str">
        <f>IF(TRIM(transaction_raw!H23)="", "NOT FOUND", UPPER(transaction_raw!H23))</f>
        <v>APAC</v>
      </c>
      <c r="I23" s="2" t="s">
        <v>59</v>
      </c>
      <c r="J23" s="2" t="s">
        <v>41</v>
      </c>
      <c r="K23" s="2">
        <f>SUMIFS(exchange_rate!$C:$C,exchange_rate!$A:$A, B23,exchange_rate!$B:$B, E23)</f>
        <v>1.1900000000000001E-2</v>
      </c>
      <c r="L23" s="2">
        <f t="shared" si="0"/>
        <v>4879</v>
      </c>
      <c r="M23" t="str">
        <f>VLOOKUP(C23,CHOOSE({1,2},merchant_master!$B:$B,merchant_master!$A:$A),2,0)</f>
        <v>M001</v>
      </c>
      <c r="N23" t="str">
        <f>VLOOKUP(C23,CHOOSE({1,2},merchant_master!$B:$B,merchant_master!$C:$C),2,0)</f>
        <v>Aisha Khan</v>
      </c>
      <c r="O23" t="str">
        <f>VLOOKUP(C23,CHOOSE({1,2},merchant_master!$B:$B,merchant_master!$D:$D),2,0)</f>
        <v>Grocery</v>
      </c>
      <c r="P23" t="str">
        <f>VLOOKUP(C23,CHOOSE({1,2},merchant_master!$B:$B,merchant_master!$E:$E),2,0)</f>
        <v>APAC</v>
      </c>
      <c r="Q23" s="8">
        <f t="shared" si="1"/>
        <v>0</v>
      </c>
      <c r="R23" s="8">
        <f t="shared" si="2"/>
        <v>0</v>
      </c>
    </row>
    <row r="24" spans="1:18" x14ac:dyDescent="0.25">
      <c r="A24" s="2" t="s">
        <v>77</v>
      </c>
      <c r="B24" s="3">
        <v>46082</v>
      </c>
      <c r="C24" s="2" t="str">
        <f>TRIM(PROPER(transaction_raw!C24))</f>
        <v>City Pharma</v>
      </c>
      <c r="D24" s="2">
        <v>5200</v>
      </c>
      <c r="E24" s="2" t="s">
        <v>78</v>
      </c>
      <c r="F24" s="10" t="str">
        <f>PROPER(TRIM(transaction_raw!F24))</f>
        <v>Captured</v>
      </c>
      <c r="G24" s="2">
        <f>VALUE(SUBSTITUTE(SUBSTITUTE(transaction_raw!G24, "score:", ""), "risk-", ""))</f>
        <v>42</v>
      </c>
      <c r="H24" s="10" t="str">
        <f>IF(TRIM(transaction_raw!H24)="", "NOT FOUND", UPPER(transaction_raw!H24))</f>
        <v xml:space="preserve"> EU </v>
      </c>
      <c r="I24" s="2" t="s">
        <v>46</v>
      </c>
      <c r="J24" s="2" t="s">
        <v>44</v>
      </c>
      <c r="K24" s="2">
        <f>SUMIFS(exchange_rate!$C:$C,exchange_rate!$A:$A, B24,exchange_rate!$B:$B, E24)</f>
        <v>1.08</v>
      </c>
      <c r="L24" s="2">
        <f t="shared" si="0"/>
        <v>5616</v>
      </c>
      <c r="M24" t="str">
        <f>VLOOKUP(C24,CHOOSE({1,2},merchant_master!$B:$B,merchant_master!$A:$A),2,0)</f>
        <v>M003</v>
      </c>
      <c r="N24" t="str">
        <f>VLOOKUP(C24,CHOOSE({1,2},merchant_master!$B:$B,merchant_master!$C:$C),2,0)</f>
        <v>Elena Rossi</v>
      </c>
      <c r="O24" t="str">
        <f>VLOOKUP(C24,CHOOSE({1,2},merchant_master!$B:$B,merchant_master!$D:$D),2,0)</f>
        <v>Healthcare</v>
      </c>
      <c r="P24" t="str">
        <f>VLOOKUP(C24,CHOOSE({1,2},merchant_master!$B:$B,merchant_master!$E:$E),2,0)</f>
        <v>EU</v>
      </c>
      <c r="Q24" s="8">
        <f t="shared" si="1"/>
        <v>0</v>
      </c>
      <c r="R24" s="8">
        <f t="shared" si="2"/>
        <v>0</v>
      </c>
    </row>
    <row r="25" spans="1:18" x14ac:dyDescent="0.25">
      <c r="A25" s="2" t="s">
        <v>79</v>
      </c>
      <c r="B25" s="3">
        <v>46083</v>
      </c>
      <c r="C25" s="2" t="str">
        <f>TRIM(PROPER(transaction_raw!C25))</f>
        <v>Eco Home</v>
      </c>
      <c r="D25" s="2">
        <v>6100</v>
      </c>
      <c r="E25" s="2" t="s">
        <v>78</v>
      </c>
      <c r="F25" s="10" t="str">
        <f>PROPER(TRIM(transaction_raw!F25))</f>
        <v>Chargeback</v>
      </c>
      <c r="G25" s="2">
        <f>VALUE(SUBSTITUTE(SUBSTITUTE(transaction_raw!G25, "score:", ""), "risk-", ""))</f>
        <v>65</v>
      </c>
      <c r="H25" s="10" t="str">
        <f>IF(TRIM(transaction_raw!H25)="", "NOT FOUND", UPPER(transaction_raw!H25))</f>
        <v>EU</v>
      </c>
      <c r="I25" s="2" t="s">
        <v>50</v>
      </c>
      <c r="J25" s="2" t="s">
        <v>44</v>
      </c>
      <c r="K25" s="2">
        <f>SUMIFS(exchange_rate!$C:$C,exchange_rate!$A:$A, B25,exchange_rate!$B:$B, E25)</f>
        <v>1.0900000000000001</v>
      </c>
      <c r="L25" s="2">
        <f t="shared" si="0"/>
        <v>6649.0000000000009</v>
      </c>
      <c r="M25" t="str">
        <f>VLOOKUP(C25,CHOOSE({1,2},merchant_master!$B:$B,merchant_master!$A:$A),2,0)</f>
        <v>M005</v>
      </c>
      <c r="N25" t="str">
        <f>VLOOKUP(C25,CHOOSE({1,2},merchant_master!$B:$B,merchant_master!$C:$C),2,0)</f>
        <v>Nina Weber</v>
      </c>
      <c r="O25" t="str">
        <f>VLOOKUP(C25,CHOOSE({1,2},merchant_master!$B:$B,merchant_master!$D:$D),2,0)</f>
        <v>Home</v>
      </c>
      <c r="P25" t="str">
        <f>VLOOKUP(C25,CHOOSE({1,2},merchant_master!$B:$B,merchant_master!$E:$E),2,0)</f>
        <v>EU</v>
      </c>
      <c r="Q25" s="8">
        <f t="shared" si="1"/>
        <v>1</v>
      </c>
      <c r="R25" s="8">
        <f t="shared" si="2"/>
        <v>1</v>
      </c>
    </row>
    <row r="26" spans="1:18" x14ac:dyDescent="0.25">
      <c r="A26" s="2" t="s">
        <v>80</v>
      </c>
      <c r="B26" s="3">
        <v>46084</v>
      </c>
      <c r="C26" s="2" t="str">
        <f>TRIM(PROPER(transaction_raw!C26))</f>
        <v>City Pharma</v>
      </c>
      <c r="D26" s="2">
        <v>2800</v>
      </c>
      <c r="E26" s="2" t="s">
        <v>78</v>
      </c>
      <c r="F26" s="10" t="str">
        <f>PROPER(TRIM(transaction_raw!F26))</f>
        <v>Captured</v>
      </c>
      <c r="G26" s="2">
        <f>VALUE(SUBSTITUTE(SUBSTITUTE(transaction_raw!G26, "score:", ""), "risk-", ""))</f>
        <v>38</v>
      </c>
      <c r="H26" s="10" t="str">
        <f>IF(TRIM(transaction_raw!H26)="", "NOT FOUND", UPPER(transaction_raw!H26))</f>
        <v>EU</v>
      </c>
      <c r="I26" s="2" t="s">
        <v>53</v>
      </c>
      <c r="J26" s="2" t="s">
        <v>54</v>
      </c>
      <c r="K26" s="2">
        <f>SUMIFS(exchange_rate!$C:$C,exchange_rate!$A:$A, B26,exchange_rate!$B:$B, E26)</f>
        <v>1.08</v>
      </c>
      <c r="L26" s="2">
        <f t="shared" si="0"/>
        <v>3024</v>
      </c>
      <c r="M26" t="str">
        <f>VLOOKUP(C26,CHOOSE({1,2},merchant_master!$B:$B,merchant_master!$A:$A),2,0)</f>
        <v>M003</v>
      </c>
      <c r="N26" t="str">
        <f>VLOOKUP(C26,CHOOSE({1,2},merchant_master!$B:$B,merchant_master!$C:$C),2,0)</f>
        <v>Elena Rossi</v>
      </c>
      <c r="O26" t="str">
        <f>VLOOKUP(C26,CHOOSE({1,2},merchant_master!$B:$B,merchant_master!$D:$D),2,0)</f>
        <v>Healthcare</v>
      </c>
      <c r="P26" t="str">
        <f>VLOOKUP(C26,CHOOSE({1,2},merchant_master!$B:$B,merchant_master!$E:$E),2,0)</f>
        <v>EU</v>
      </c>
      <c r="Q26" s="8">
        <f t="shared" si="1"/>
        <v>0</v>
      </c>
      <c r="R26" s="8">
        <f t="shared" si="2"/>
        <v>0</v>
      </c>
    </row>
    <row r="27" spans="1:18" x14ac:dyDescent="0.25">
      <c r="A27" s="2" t="s">
        <v>81</v>
      </c>
      <c r="B27" s="3">
        <v>46086</v>
      </c>
      <c r="C27" s="2" t="str">
        <f>TRIM(PROPER(transaction_raw!C27))</f>
        <v>Eco Home</v>
      </c>
      <c r="D27" s="2">
        <v>3300</v>
      </c>
      <c r="E27" s="2" t="s">
        <v>78</v>
      </c>
      <c r="F27" s="10" t="str">
        <f>PROPER(TRIM(transaction_raw!F27))</f>
        <v>Failed E05 Timeout</v>
      </c>
      <c r="G27" s="2">
        <f>VALUE(SUBSTITUTE(SUBSTITUTE(transaction_raw!G27, "score:", ""), "risk-", ""))</f>
        <v>44</v>
      </c>
      <c r="H27" s="10" t="str">
        <f>IF(TRIM(transaction_raw!H27)="", "NOT FOUND", UPPER(transaction_raw!H27))</f>
        <v xml:space="preserve"> EU </v>
      </c>
      <c r="I27" s="2" t="s">
        <v>57</v>
      </c>
      <c r="J27" s="2" t="s">
        <v>47</v>
      </c>
      <c r="K27" s="2">
        <f>SUMIFS(exchange_rate!$C:$C,exchange_rate!$A:$A, B27,exchange_rate!$B:$B, E27)</f>
        <v>1.0900000000000001</v>
      </c>
      <c r="L27" s="2">
        <f t="shared" si="0"/>
        <v>3597.0000000000005</v>
      </c>
      <c r="M27" t="str">
        <f>VLOOKUP(C27,CHOOSE({1,2},merchant_master!$B:$B,merchant_master!$A:$A),2,0)</f>
        <v>M005</v>
      </c>
      <c r="N27" t="str">
        <f>VLOOKUP(C27,CHOOSE({1,2},merchant_master!$B:$B,merchant_master!$C:$C),2,0)</f>
        <v>Nina Weber</v>
      </c>
      <c r="O27" t="str">
        <f>VLOOKUP(C27,CHOOSE({1,2},merchant_master!$B:$B,merchant_master!$D:$D),2,0)</f>
        <v>Home</v>
      </c>
      <c r="P27" t="str">
        <f>VLOOKUP(C27,CHOOSE({1,2},merchant_master!$B:$B,merchant_master!$E:$E),2,0)</f>
        <v>EU</v>
      </c>
      <c r="Q27" s="8">
        <f t="shared" si="1"/>
        <v>0</v>
      </c>
      <c r="R27" s="8">
        <f t="shared" si="2"/>
        <v>0</v>
      </c>
    </row>
    <row r="28" spans="1:18" x14ac:dyDescent="0.25">
      <c r="A28" s="2" t="s">
        <v>82</v>
      </c>
      <c r="B28" s="3">
        <v>46082</v>
      </c>
      <c r="C28" s="2" t="str">
        <f>TRIM(PROPER(transaction_raw!C28))</f>
        <v>Delta Travels</v>
      </c>
      <c r="D28" s="2">
        <v>7200</v>
      </c>
      <c r="E28" s="2" t="s">
        <v>83</v>
      </c>
      <c r="F28" s="10" t="str">
        <f>PROPER(TRIM(transaction_raw!F28))</f>
        <v>Captured</v>
      </c>
      <c r="G28" s="2">
        <f>VALUE(SUBSTITUTE(SUBSTITUTE(transaction_raw!G28, "score:", ""), "risk-", ""))</f>
        <v>49</v>
      </c>
      <c r="H28" s="10" t="str">
        <f>IF(TRIM(transaction_raw!H28)="", "NOT FOUND", UPPER(transaction_raw!H28))</f>
        <v>US</v>
      </c>
      <c r="I28" s="2" t="s">
        <v>59</v>
      </c>
      <c r="J28" s="2" t="s">
        <v>44</v>
      </c>
      <c r="K28" s="2">
        <f>SUMIFS(exchange_rate!$C:$C,exchange_rate!$A:$A, B28,exchange_rate!$B:$B, E28)</f>
        <v>1</v>
      </c>
      <c r="L28" s="2">
        <f t="shared" si="0"/>
        <v>7200</v>
      </c>
      <c r="M28" t="str">
        <f>VLOOKUP(C28,CHOOSE({1,2},merchant_master!$B:$B,merchant_master!$A:$A),2,0)</f>
        <v>M004</v>
      </c>
      <c r="N28" t="str">
        <f>VLOOKUP(C28,CHOOSE({1,2},merchant_master!$B:$B,merchant_master!$C:$C),2,0)</f>
        <v>Marcus Lee</v>
      </c>
      <c r="O28" t="str">
        <f>VLOOKUP(C28,CHOOSE({1,2},merchant_master!$B:$B,merchant_master!$D:$D),2,0)</f>
        <v>Travel</v>
      </c>
      <c r="P28" t="str">
        <f>VLOOKUP(C28,CHOOSE({1,2},merchant_master!$B:$B,merchant_master!$E:$E),2,0)</f>
        <v>US</v>
      </c>
      <c r="Q28" s="8">
        <f t="shared" si="1"/>
        <v>1</v>
      </c>
      <c r="R28" s="8">
        <f t="shared" si="2"/>
        <v>0</v>
      </c>
    </row>
    <row r="29" spans="1:18" x14ac:dyDescent="0.25">
      <c r="A29" s="2" t="s">
        <v>84</v>
      </c>
      <c r="B29" s="3">
        <v>46083</v>
      </c>
      <c r="C29" s="2" t="str">
        <f>TRIM(PROPER(transaction_raw!C29))</f>
        <v>Delta Travels</v>
      </c>
      <c r="D29" s="2">
        <v>3100</v>
      </c>
      <c r="E29" s="2" t="s">
        <v>83</v>
      </c>
      <c r="F29" s="10" t="str">
        <f>PROPER(TRIM(transaction_raw!F29))</f>
        <v>Captured</v>
      </c>
      <c r="G29" s="2">
        <f>VALUE(SUBSTITUTE(SUBSTITUTE(transaction_raw!G29, "score:", ""), "risk-", ""))</f>
        <v>41</v>
      </c>
      <c r="H29" s="10" t="str">
        <f>IF(TRIM(transaction_raw!H29)="", "NOT FOUND", UPPER(transaction_raw!H29))</f>
        <v>US</v>
      </c>
      <c r="I29" s="2" t="s">
        <v>63</v>
      </c>
      <c r="J29" s="2" t="s">
        <v>44</v>
      </c>
      <c r="K29" s="2">
        <f>SUMIFS(exchange_rate!$C:$C,exchange_rate!$A:$A, B29,exchange_rate!$B:$B, E29)</f>
        <v>1</v>
      </c>
      <c r="L29" s="2">
        <f t="shared" si="0"/>
        <v>3100</v>
      </c>
      <c r="M29" t="str">
        <f>VLOOKUP(C29,CHOOSE({1,2},merchant_master!$B:$B,merchant_master!$A:$A),2,0)</f>
        <v>M004</v>
      </c>
      <c r="N29" t="str">
        <f>VLOOKUP(C29,CHOOSE({1,2},merchant_master!$B:$B,merchant_master!$C:$C),2,0)</f>
        <v>Marcus Lee</v>
      </c>
      <c r="O29" t="str">
        <f>VLOOKUP(C29,CHOOSE({1,2},merchant_master!$B:$B,merchant_master!$D:$D),2,0)</f>
        <v>Travel</v>
      </c>
      <c r="P29" t="str">
        <f>VLOOKUP(C29,CHOOSE({1,2},merchant_master!$B:$B,merchant_master!$E:$E),2,0)</f>
        <v>US</v>
      </c>
      <c r="Q29" s="8">
        <f t="shared" si="1"/>
        <v>0</v>
      </c>
      <c r="R29" s="8">
        <f t="shared" si="2"/>
        <v>0</v>
      </c>
    </row>
    <row r="30" spans="1:18" x14ac:dyDescent="0.25">
      <c r="A30" s="2" t="s">
        <v>85</v>
      </c>
      <c r="B30" s="3">
        <v>46085</v>
      </c>
      <c r="C30" s="2" t="str">
        <f>TRIM(PROPER(transaction_raw!C30))</f>
        <v>Delta Travels</v>
      </c>
      <c r="D30" s="2">
        <v>2500</v>
      </c>
      <c r="E30" s="2" t="s">
        <v>83</v>
      </c>
      <c r="F30" s="10" t="str">
        <f>PROPER(TRIM(transaction_raw!F30))</f>
        <v>Chargeback</v>
      </c>
      <c r="G30" s="2">
        <f>VALUE(SUBSTITUTE(SUBSTITUTE(transaction_raw!G30, "score:", ""), "risk-", ""))</f>
        <v>58</v>
      </c>
      <c r="H30" s="10" t="str">
        <f>IF(TRIM(transaction_raw!H30)="", "NOT FOUND", UPPER(transaction_raw!H30))</f>
        <v>US</v>
      </c>
      <c r="I30" s="2" t="s">
        <v>65</v>
      </c>
      <c r="J30" s="2" t="s">
        <v>54</v>
      </c>
      <c r="K30" s="2">
        <f>SUMIFS(exchange_rate!$C:$C,exchange_rate!$A:$A, B30,exchange_rate!$B:$B, E30)</f>
        <v>1</v>
      </c>
      <c r="L30" s="2">
        <f t="shared" si="0"/>
        <v>2500</v>
      </c>
      <c r="M30" t="str">
        <f>VLOOKUP(C30,CHOOSE({1,2},merchant_master!$B:$B,merchant_master!$A:$A),2,0)</f>
        <v>M004</v>
      </c>
      <c r="N30" t="str">
        <f>VLOOKUP(C30,CHOOSE({1,2},merchant_master!$B:$B,merchant_master!$C:$C),2,0)</f>
        <v>Marcus Lee</v>
      </c>
      <c r="O30" t="str">
        <f>VLOOKUP(C30,CHOOSE({1,2},merchant_master!$B:$B,merchant_master!$D:$D),2,0)</f>
        <v>Travel</v>
      </c>
      <c r="P30" t="str">
        <f>VLOOKUP(C30,CHOOSE({1,2},merchant_master!$B:$B,merchant_master!$E:$E),2,0)</f>
        <v>US</v>
      </c>
      <c r="Q30" s="8">
        <f t="shared" si="1"/>
        <v>0</v>
      </c>
      <c r="R30" s="8">
        <f t="shared" si="2"/>
        <v>1</v>
      </c>
    </row>
    <row r="31" spans="1:18" x14ac:dyDescent="0.25">
      <c r="A31" s="2" t="s">
        <v>86</v>
      </c>
      <c r="B31" s="3">
        <v>46087</v>
      </c>
      <c r="C31" s="2" t="str">
        <f>TRIM(PROPER(transaction_raw!C31))</f>
        <v>Delta Travels</v>
      </c>
      <c r="D31" s="2">
        <v>1800</v>
      </c>
      <c r="E31" s="2" t="s">
        <v>83</v>
      </c>
      <c r="F31" s="10" t="str">
        <f>PROPER(TRIM(transaction_raw!F31))</f>
        <v>Failed E05 Timeout</v>
      </c>
      <c r="G31" s="2">
        <f>VALUE(SUBSTITUTE(SUBSTITUTE(transaction_raw!G31, "score:", ""), "risk-", ""))</f>
        <v>47</v>
      </c>
      <c r="H31" s="10" t="str">
        <f>IF(TRIM(transaction_raw!H31)="", "NOT FOUND", UPPER(transaction_raw!H31))</f>
        <v>US</v>
      </c>
      <c r="I31" s="2" t="s">
        <v>67</v>
      </c>
      <c r="J31" s="2" t="s">
        <v>41</v>
      </c>
      <c r="K31" s="2">
        <f>SUMIFS(exchange_rate!$C:$C,exchange_rate!$A:$A, B31,exchange_rate!$B:$B, E31)</f>
        <v>1</v>
      </c>
      <c r="L31" s="2">
        <f t="shared" si="0"/>
        <v>1800</v>
      </c>
      <c r="M31" t="str">
        <f>VLOOKUP(C31,CHOOSE({1,2},merchant_master!$B:$B,merchant_master!$A:$A),2,0)</f>
        <v>M004</v>
      </c>
      <c r="N31" t="str">
        <f>VLOOKUP(C31,CHOOSE({1,2},merchant_master!$B:$B,merchant_master!$C:$C),2,0)</f>
        <v>Marcus Lee</v>
      </c>
      <c r="O31" t="str">
        <f>VLOOKUP(C31,CHOOSE({1,2},merchant_master!$B:$B,merchant_master!$D:$D),2,0)</f>
        <v>Travel</v>
      </c>
      <c r="P31" t="str">
        <f>VLOOKUP(C31,CHOOSE({1,2},merchant_master!$B:$B,merchant_master!$E:$E),2,0)</f>
        <v>US</v>
      </c>
      <c r="Q31" s="8">
        <f t="shared" si="1"/>
        <v>0</v>
      </c>
      <c r="R31" s="8">
        <f t="shared" si="2"/>
        <v>0</v>
      </c>
    </row>
    <row r="32" spans="1:18" x14ac:dyDescent="0.25">
      <c r="Q32" s="8">
        <f>SUM(Q2:Q31)</f>
        <v>7</v>
      </c>
      <c r="R32" s="8">
        <f>SUM(R2:R31)</f>
        <v>9</v>
      </c>
    </row>
    <row r="34" spans="7:15" x14ac:dyDescent="0.25">
      <c r="G34" s="11"/>
      <c r="H34" s="11"/>
      <c r="I34" s="11"/>
    </row>
    <row r="35" spans="7:15" x14ac:dyDescent="0.25">
      <c r="N35" s="9" t="s">
        <v>146</v>
      </c>
      <c r="O35" s="9"/>
    </row>
  </sheetData>
  <mergeCells count="1">
    <mergeCell ref="G34:I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tabSelected="1" workbookViewId="0">
      <selection activeCell="E18" sqref="E18"/>
    </sheetView>
  </sheetViews>
  <sheetFormatPr defaultRowHeight="15" x14ac:dyDescent="0.25"/>
  <cols>
    <col min="1" max="1" width="18.85546875" customWidth="1"/>
    <col min="2" max="2" width="16.28515625" bestFit="1" customWidth="1"/>
    <col min="3" max="3" width="11.140625" bestFit="1" customWidth="1"/>
    <col min="4" max="4" width="18" bestFit="1" customWidth="1"/>
    <col min="5" max="5" width="11.28515625" bestFit="1" customWidth="1"/>
  </cols>
  <sheetData>
    <row r="3" spans="1:5" x14ac:dyDescent="0.25">
      <c r="A3" s="5" t="s">
        <v>145</v>
      </c>
      <c r="B3" s="5" t="s">
        <v>144</v>
      </c>
    </row>
    <row r="4" spans="1:5" x14ac:dyDescent="0.25">
      <c r="A4" s="5" t="s">
        <v>142</v>
      </c>
      <c r="B4" t="s">
        <v>39</v>
      </c>
      <c r="C4" t="s">
        <v>56</v>
      </c>
      <c r="D4" t="s">
        <v>49</v>
      </c>
      <c r="E4" t="s">
        <v>143</v>
      </c>
    </row>
    <row r="5" spans="1:5" x14ac:dyDescent="0.25">
      <c r="A5" s="6" t="s">
        <v>6</v>
      </c>
      <c r="B5" s="7">
        <v>29984.5</v>
      </c>
      <c r="C5" s="7">
        <v>5400</v>
      </c>
      <c r="D5" s="7">
        <v>5427.5</v>
      </c>
      <c r="E5" s="7">
        <v>40812</v>
      </c>
    </row>
    <row r="6" spans="1:5" x14ac:dyDescent="0.25">
      <c r="A6" s="6" t="s">
        <v>11</v>
      </c>
      <c r="B6" s="7">
        <v>33431</v>
      </c>
      <c r="C6" s="7">
        <v>1711</v>
      </c>
      <c r="D6" s="7">
        <v>6640</v>
      </c>
      <c r="E6" s="7">
        <v>41782</v>
      </c>
    </row>
    <row r="7" spans="1:5" x14ac:dyDescent="0.25">
      <c r="A7" s="6" t="s">
        <v>15</v>
      </c>
      <c r="B7" s="7">
        <v>8640</v>
      </c>
      <c r="C7" s="7"/>
      <c r="D7" s="7"/>
      <c r="E7" s="7">
        <v>8640</v>
      </c>
    </row>
    <row r="8" spans="1:5" x14ac:dyDescent="0.25">
      <c r="A8" s="6" t="s">
        <v>20</v>
      </c>
      <c r="B8" s="7">
        <v>10300</v>
      </c>
      <c r="C8" s="7">
        <v>2500</v>
      </c>
      <c r="D8" s="7">
        <v>1800</v>
      </c>
      <c r="E8" s="7">
        <v>14600</v>
      </c>
    </row>
    <row r="9" spans="1:5" x14ac:dyDescent="0.25">
      <c r="A9" s="6" t="s">
        <v>25</v>
      </c>
      <c r="B9" s="7"/>
      <c r="C9" s="7">
        <v>6649.0000000000009</v>
      </c>
      <c r="D9" s="7">
        <v>3597.0000000000005</v>
      </c>
      <c r="E9" s="7">
        <v>10246.000000000002</v>
      </c>
    </row>
    <row r="10" spans="1:5" x14ac:dyDescent="0.25">
      <c r="A10" s="6" t="s">
        <v>143</v>
      </c>
      <c r="B10" s="7">
        <v>82355.5</v>
      </c>
      <c r="C10" s="7">
        <v>16260</v>
      </c>
      <c r="D10" s="7">
        <v>17464.5</v>
      </c>
      <c r="E10" s="7">
        <v>116080</v>
      </c>
    </row>
    <row r="18" spans="5:5" x14ac:dyDescent="0.25">
      <c r="E1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H1" sqref="H1:H31"/>
    </sheetView>
  </sheetViews>
  <sheetFormatPr defaultRowHeight="15" x14ac:dyDescent="0.25"/>
  <cols>
    <col min="2" max="2" width="16" bestFit="1" customWidth="1"/>
    <col min="3" max="3" width="15.5703125" bestFit="1" customWidth="1"/>
    <col min="6" max="6" width="19.28515625" bestFit="1" customWidth="1"/>
    <col min="7" max="7" width="9.85546875" bestFit="1" customWidth="1"/>
    <col min="8" max="8" width="15.28515625" bestFit="1" customWidth="1"/>
    <col min="9" max="9" width="7.5703125" bestFit="1" customWidth="1"/>
  </cols>
  <sheetData>
    <row r="1" spans="1:10" x14ac:dyDescent="0.25">
      <c r="A1" t="s">
        <v>95</v>
      </c>
      <c r="B1" t="s">
        <v>96</v>
      </c>
      <c r="C1" t="s">
        <v>1</v>
      </c>
      <c r="D1" t="s">
        <v>97</v>
      </c>
      <c r="E1" t="s">
        <v>88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</row>
    <row r="2" spans="1:10" x14ac:dyDescent="0.25">
      <c r="A2" t="s">
        <v>37</v>
      </c>
      <c r="B2" s="1">
        <v>46082</v>
      </c>
      <c r="C2" t="s">
        <v>103</v>
      </c>
      <c r="D2">
        <v>420000</v>
      </c>
      <c r="E2" t="s">
        <v>38</v>
      </c>
      <c r="F2" t="s">
        <v>104</v>
      </c>
      <c r="G2" t="s">
        <v>105</v>
      </c>
      <c r="H2" t="s">
        <v>9</v>
      </c>
      <c r="I2" t="s">
        <v>40</v>
      </c>
      <c r="J2" t="s">
        <v>41</v>
      </c>
    </row>
    <row r="3" spans="1:10" x14ac:dyDescent="0.25">
      <c r="A3" t="s">
        <v>42</v>
      </c>
      <c r="B3" s="1">
        <v>46082</v>
      </c>
      <c r="C3" t="s">
        <v>106</v>
      </c>
      <c r="D3">
        <v>210000</v>
      </c>
      <c r="E3" t="s">
        <v>38</v>
      </c>
      <c r="F3" t="s">
        <v>107</v>
      </c>
      <c r="G3">
        <v>55</v>
      </c>
      <c r="I3" t="s">
        <v>43</v>
      </c>
      <c r="J3" t="s">
        <v>44</v>
      </c>
    </row>
    <row r="4" spans="1:10" x14ac:dyDescent="0.25">
      <c r="A4" t="s">
        <v>45</v>
      </c>
      <c r="B4" s="1">
        <v>46082</v>
      </c>
      <c r="C4" t="s">
        <v>108</v>
      </c>
      <c r="D4">
        <v>510000</v>
      </c>
      <c r="E4" t="s">
        <v>38</v>
      </c>
      <c r="F4" t="s">
        <v>109</v>
      </c>
      <c r="G4">
        <v>71</v>
      </c>
      <c r="H4" t="s">
        <v>110</v>
      </c>
      <c r="I4" t="s">
        <v>46</v>
      </c>
      <c r="J4" t="s">
        <v>47</v>
      </c>
    </row>
    <row r="5" spans="1:10" x14ac:dyDescent="0.25">
      <c r="A5" t="s">
        <v>48</v>
      </c>
      <c r="B5" s="1">
        <v>46083</v>
      </c>
      <c r="C5" t="s">
        <v>111</v>
      </c>
      <c r="D5">
        <v>160000</v>
      </c>
      <c r="E5" t="s">
        <v>38</v>
      </c>
      <c r="F5" t="s">
        <v>112</v>
      </c>
      <c r="G5">
        <v>68</v>
      </c>
      <c r="H5" t="s">
        <v>113</v>
      </c>
      <c r="I5" t="s">
        <v>50</v>
      </c>
      <c r="J5" t="s">
        <v>44</v>
      </c>
    </row>
    <row r="6" spans="1:10" x14ac:dyDescent="0.25">
      <c r="A6" t="s">
        <v>51</v>
      </c>
      <c r="B6" s="1">
        <v>46083</v>
      </c>
      <c r="C6" t="s">
        <v>6</v>
      </c>
      <c r="D6">
        <v>390000</v>
      </c>
      <c r="E6" t="s">
        <v>38</v>
      </c>
      <c r="F6" t="s">
        <v>109</v>
      </c>
      <c r="G6">
        <v>58</v>
      </c>
      <c r="I6" t="s">
        <v>40</v>
      </c>
      <c r="J6" t="s">
        <v>41</v>
      </c>
    </row>
    <row r="7" spans="1:10" x14ac:dyDescent="0.25">
      <c r="A7" t="s">
        <v>52</v>
      </c>
      <c r="B7" s="1">
        <v>46083</v>
      </c>
      <c r="C7" t="s">
        <v>111</v>
      </c>
      <c r="D7">
        <v>275000</v>
      </c>
      <c r="E7" t="s">
        <v>38</v>
      </c>
      <c r="F7" t="s">
        <v>107</v>
      </c>
      <c r="G7" t="s">
        <v>114</v>
      </c>
      <c r="I7" t="s">
        <v>53</v>
      </c>
      <c r="J7" t="s">
        <v>54</v>
      </c>
    </row>
    <row r="8" spans="1:10" x14ac:dyDescent="0.25">
      <c r="A8" t="s">
        <v>55</v>
      </c>
      <c r="B8" s="1">
        <v>46083</v>
      </c>
      <c r="C8" t="s">
        <v>115</v>
      </c>
      <c r="D8">
        <v>450000</v>
      </c>
      <c r="E8" t="s">
        <v>38</v>
      </c>
      <c r="F8" t="s">
        <v>116</v>
      </c>
      <c r="G8" t="s">
        <v>117</v>
      </c>
      <c r="H8" t="s">
        <v>110</v>
      </c>
      <c r="I8" t="s">
        <v>57</v>
      </c>
      <c r="J8" t="s">
        <v>44</v>
      </c>
    </row>
    <row r="9" spans="1:10" x14ac:dyDescent="0.25">
      <c r="A9" t="s">
        <v>58</v>
      </c>
      <c r="B9" s="1">
        <v>46084</v>
      </c>
      <c r="C9" t="s">
        <v>108</v>
      </c>
      <c r="D9">
        <v>340000</v>
      </c>
      <c r="E9" t="s">
        <v>38</v>
      </c>
      <c r="F9" t="s">
        <v>107</v>
      </c>
      <c r="G9">
        <v>59</v>
      </c>
      <c r="I9" t="s">
        <v>59</v>
      </c>
      <c r="J9" t="s">
        <v>41</v>
      </c>
    </row>
    <row r="10" spans="1:10" x14ac:dyDescent="0.25">
      <c r="A10" t="s">
        <v>60</v>
      </c>
      <c r="B10" s="1">
        <v>46084</v>
      </c>
      <c r="C10" t="s">
        <v>6</v>
      </c>
      <c r="D10">
        <v>125000</v>
      </c>
      <c r="E10" t="s">
        <v>38</v>
      </c>
      <c r="F10" t="s">
        <v>104</v>
      </c>
      <c r="G10">
        <v>46</v>
      </c>
      <c r="H10" t="s">
        <v>9</v>
      </c>
      <c r="I10" t="s">
        <v>43</v>
      </c>
      <c r="J10" t="s">
        <v>54</v>
      </c>
    </row>
    <row r="11" spans="1:10" x14ac:dyDescent="0.25">
      <c r="A11" t="s">
        <v>61</v>
      </c>
      <c r="B11" s="1">
        <v>46084</v>
      </c>
      <c r="C11" t="s">
        <v>11</v>
      </c>
      <c r="D11">
        <v>610000</v>
      </c>
      <c r="E11" t="s">
        <v>38</v>
      </c>
      <c r="F11" t="s">
        <v>104</v>
      </c>
      <c r="G11" t="s">
        <v>118</v>
      </c>
      <c r="I11" t="s">
        <v>46</v>
      </c>
      <c r="J11" t="s">
        <v>44</v>
      </c>
    </row>
    <row r="12" spans="1:10" x14ac:dyDescent="0.25">
      <c r="A12" t="s">
        <v>62</v>
      </c>
      <c r="B12" s="1">
        <v>46084</v>
      </c>
      <c r="C12" t="s">
        <v>115</v>
      </c>
      <c r="D12">
        <v>195000</v>
      </c>
      <c r="E12" t="s">
        <v>38</v>
      </c>
      <c r="F12" t="s">
        <v>119</v>
      </c>
      <c r="I12" t="s">
        <v>63</v>
      </c>
      <c r="J12" t="s">
        <v>41</v>
      </c>
    </row>
    <row r="13" spans="1:10" x14ac:dyDescent="0.25">
      <c r="A13" t="s">
        <v>64</v>
      </c>
      <c r="B13" s="1">
        <v>46085</v>
      </c>
      <c r="C13" t="s">
        <v>111</v>
      </c>
      <c r="D13">
        <v>250000</v>
      </c>
      <c r="E13" t="s">
        <v>38</v>
      </c>
      <c r="F13" t="s">
        <v>120</v>
      </c>
      <c r="G13" t="s">
        <v>121</v>
      </c>
      <c r="H13" t="s">
        <v>110</v>
      </c>
      <c r="I13" t="s">
        <v>65</v>
      </c>
      <c r="J13" t="s">
        <v>44</v>
      </c>
    </row>
    <row r="14" spans="1:10" x14ac:dyDescent="0.25">
      <c r="A14" t="s">
        <v>66</v>
      </c>
      <c r="B14" s="1">
        <v>46085</v>
      </c>
      <c r="C14" t="s">
        <v>103</v>
      </c>
      <c r="D14">
        <v>310000</v>
      </c>
      <c r="E14" t="s">
        <v>38</v>
      </c>
      <c r="F14" t="s">
        <v>120</v>
      </c>
      <c r="G14" t="s">
        <v>122</v>
      </c>
      <c r="H14" t="s">
        <v>9</v>
      </c>
      <c r="I14" t="s">
        <v>67</v>
      </c>
      <c r="J14" t="s">
        <v>41</v>
      </c>
    </row>
    <row r="15" spans="1:10" x14ac:dyDescent="0.25">
      <c r="A15" t="s">
        <v>68</v>
      </c>
      <c r="B15" s="1">
        <v>46085</v>
      </c>
      <c r="C15" t="s">
        <v>111</v>
      </c>
      <c r="D15">
        <v>470000</v>
      </c>
      <c r="E15" t="s">
        <v>38</v>
      </c>
      <c r="F15" t="s">
        <v>120</v>
      </c>
      <c r="G15" t="s">
        <v>123</v>
      </c>
      <c r="H15" t="s">
        <v>9</v>
      </c>
      <c r="I15" t="s">
        <v>40</v>
      </c>
      <c r="J15" t="s">
        <v>47</v>
      </c>
    </row>
    <row r="16" spans="1:10" x14ac:dyDescent="0.25">
      <c r="A16" t="s">
        <v>69</v>
      </c>
      <c r="B16" s="1">
        <v>46085</v>
      </c>
      <c r="C16" t="s">
        <v>6</v>
      </c>
      <c r="D16">
        <v>130000</v>
      </c>
      <c r="E16" t="s">
        <v>38</v>
      </c>
      <c r="F16" t="s">
        <v>104</v>
      </c>
      <c r="G16" t="s">
        <v>124</v>
      </c>
      <c r="I16" t="s">
        <v>43</v>
      </c>
      <c r="J16" t="s">
        <v>44</v>
      </c>
    </row>
    <row r="17" spans="1:10" x14ac:dyDescent="0.25">
      <c r="A17" t="s">
        <v>70</v>
      </c>
      <c r="B17" s="1">
        <v>46086</v>
      </c>
      <c r="C17" t="s">
        <v>111</v>
      </c>
      <c r="D17">
        <v>220000</v>
      </c>
      <c r="E17" t="s">
        <v>38</v>
      </c>
      <c r="F17" t="s">
        <v>125</v>
      </c>
      <c r="G17" t="s">
        <v>126</v>
      </c>
      <c r="I17" t="s">
        <v>63</v>
      </c>
      <c r="J17" t="s">
        <v>44</v>
      </c>
    </row>
    <row r="18" spans="1:10" x14ac:dyDescent="0.25">
      <c r="A18" t="s">
        <v>71</v>
      </c>
      <c r="B18" s="1">
        <v>46086</v>
      </c>
      <c r="C18" t="s">
        <v>111</v>
      </c>
      <c r="D18">
        <v>180000</v>
      </c>
      <c r="E18" t="s">
        <v>38</v>
      </c>
      <c r="F18" t="s">
        <v>49</v>
      </c>
      <c r="G18" t="s">
        <v>127</v>
      </c>
      <c r="H18" t="s">
        <v>113</v>
      </c>
      <c r="I18" t="s">
        <v>63</v>
      </c>
      <c r="J18" t="s">
        <v>44</v>
      </c>
    </row>
    <row r="19" spans="1:10" x14ac:dyDescent="0.25">
      <c r="A19" t="s">
        <v>72</v>
      </c>
      <c r="B19" s="1">
        <v>46086</v>
      </c>
      <c r="C19" t="s">
        <v>108</v>
      </c>
      <c r="D19">
        <v>145000</v>
      </c>
      <c r="E19" t="s">
        <v>38</v>
      </c>
      <c r="F19" t="s">
        <v>128</v>
      </c>
      <c r="G19" t="s">
        <v>129</v>
      </c>
      <c r="H19" t="s">
        <v>110</v>
      </c>
      <c r="I19" t="s">
        <v>63</v>
      </c>
      <c r="J19" t="s">
        <v>41</v>
      </c>
    </row>
    <row r="20" spans="1:10" x14ac:dyDescent="0.25">
      <c r="A20" t="s">
        <v>73</v>
      </c>
      <c r="B20" s="1">
        <v>46086</v>
      </c>
      <c r="C20" t="s">
        <v>115</v>
      </c>
      <c r="D20">
        <v>260000</v>
      </c>
      <c r="E20" t="s">
        <v>38</v>
      </c>
      <c r="F20" t="s">
        <v>49</v>
      </c>
      <c r="G20" t="s">
        <v>130</v>
      </c>
      <c r="H20" t="s">
        <v>113</v>
      </c>
      <c r="I20" t="s">
        <v>63</v>
      </c>
      <c r="J20" t="s">
        <v>54</v>
      </c>
    </row>
    <row r="21" spans="1:10" x14ac:dyDescent="0.25">
      <c r="A21" t="s">
        <v>74</v>
      </c>
      <c r="B21" s="1">
        <v>46086</v>
      </c>
      <c r="C21" t="s">
        <v>6</v>
      </c>
      <c r="D21">
        <v>520000</v>
      </c>
      <c r="E21" t="s">
        <v>38</v>
      </c>
      <c r="F21" t="s">
        <v>107</v>
      </c>
      <c r="G21">
        <v>75</v>
      </c>
      <c r="H21" t="s">
        <v>9</v>
      </c>
      <c r="I21" t="s">
        <v>53</v>
      </c>
      <c r="J21" t="s">
        <v>41</v>
      </c>
    </row>
    <row r="22" spans="1:10" x14ac:dyDescent="0.25">
      <c r="A22" t="s">
        <v>75</v>
      </c>
      <c r="B22" s="1">
        <v>46087</v>
      </c>
      <c r="C22" t="s">
        <v>131</v>
      </c>
      <c r="D22">
        <v>330000</v>
      </c>
      <c r="E22" t="s">
        <v>38</v>
      </c>
      <c r="F22" t="s">
        <v>120</v>
      </c>
      <c r="G22" t="s">
        <v>132</v>
      </c>
      <c r="I22" t="s">
        <v>57</v>
      </c>
      <c r="J22" t="s">
        <v>44</v>
      </c>
    </row>
    <row r="23" spans="1:10" x14ac:dyDescent="0.25">
      <c r="A23" t="s">
        <v>76</v>
      </c>
      <c r="B23" s="1">
        <v>46087</v>
      </c>
      <c r="C23" t="s">
        <v>106</v>
      </c>
      <c r="D23">
        <v>410000</v>
      </c>
      <c r="E23" t="s">
        <v>38</v>
      </c>
      <c r="F23" t="s">
        <v>120</v>
      </c>
      <c r="G23">
        <v>60</v>
      </c>
      <c r="H23" t="s">
        <v>9</v>
      </c>
      <c r="I23" t="s">
        <v>59</v>
      </c>
      <c r="J23" t="s">
        <v>41</v>
      </c>
    </row>
    <row r="24" spans="1:10" x14ac:dyDescent="0.25">
      <c r="A24" t="s">
        <v>77</v>
      </c>
      <c r="B24" s="1">
        <v>46082</v>
      </c>
      <c r="C24" t="s">
        <v>15</v>
      </c>
      <c r="D24">
        <v>5200</v>
      </c>
      <c r="E24" t="s">
        <v>78</v>
      </c>
      <c r="F24" t="s">
        <v>107</v>
      </c>
      <c r="G24">
        <v>42</v>
      </c>
      <c r="H24" t="s">
        <v>133</v>
      </c>
      <c r="I24" t="s">
        <v>46</v>
      </c>
      <c r="J24" t="s">
        <v>44</v>
      </c>
    </row>
    <row r="25" spans="1:10" x14ac:dyDescent="0.25">
      <c r="A25" t="s">
        <v>79</v>
      </c>
      <c r="B25" s="1">
        <v>46083</v>
      </c>
      <c r="C25" t="s">
        <v>25</v>
      </c>
      <c r="D25">
        <v>6100</v>
      </c>
      <c r="E25" t="s">
        <v>78</v>
      </c>
      <c r="F25" t="s">
        <v>128</v>
      </c>
      <c r="G25" t="s">
        <v>134</v>
      </c>
      <c r="H25" t="s">
        <v>18</v>
      </c>
      <c r="I25" t="s">
        <v>50</v>
      </c>
      <c r="J25" t="s">
        <v>44</v>
      </c>
    </row>
    <row r="26" spans="1:10" x14ac:dyDescent="0.25">
      <c r="A26" t="s">
        <v>80</v>
      </c>
      <c r="B26" s="1">
        <v>46084</v>
      </c>
      <c r="C26" t="s">
        <v>15</v>
      </c>
      <c r="D26">
        <v>2800</v>
      </c>
      <c r="E26" t="s">
        <v>78</v>
      </c>
      <c r="F26" t="s">
        <v>120</v>
      </c>
      <c r="G26">
        <v>38</v>
      </c>
      <c r="H26" t="s">
        <v>135</v>
      </c>
      <c r="I26" t="s">
        <v>53</v>
      </c>
      <c r="J26" t="s">
        <v>54</v>
      </c>
    </row>
    <row r="27" spans="1:10" x14ac:dyDescent="0.25">
      <c r="A27" t="s">
        <v>81</v>
      </c>
      <c r="B27" s="1">
        <v>46086</v>
      </c>
      <c r="C27" t="s">
        <v>25</v>
      </c>
      <c r="D27">
        <v>3300</v>
      </c>
      <c r="E27" t="s">
        <v>78</v>
      </c>
      <c r="F27" t="s">
        <v>49</v>
      </c>
      <c r="G27">
        <v>44</v>
      </c>
      <c r="H27" t="s">
        <v>133</v>
      </c>
      <c r="I27" t="s">
        <v>57</v>
      </c>
      <c r="J27" t="s">
        <v>47</v>
      </c>
    </row>
    <row r="28" spans="1:10" x14ac:dyDescent="0.25">
      <c r="A28" t="s">
        <v>82</v>
      </c>
      <c r="B28" s="1">
        <v>46082</v>
      </c>
      <c r="C28" t="s">
        <v>136</v>
      </c>
      <c r="D28">
        <v>7200</v>
      </c>
      <c r="E28" t="s">
        <v>83</v>
      </c>
      <c r="F28" t="s">
        <v>120</v>
      </c>
      <c r="G28">
        <v>49</v>
      </c>
      <c r="H28" t="s">
        <v>137</v>
      </c>
      <c r="I28" t="s">
        <v>59</v>
      </c>
      <c r="J28" t="s">
        <v>44</v>
      </c>
    </row>
    <row r="29" spans="1:10" x14ac:dyDescent="0.25">
      <c r="A29" t="s">
        <v>84</v>
      </c>
      <c r="B29" s="1">
        <v>46083</v>
      </c>
      <c r="C29" t="s">
        <v>20</v>
      </c>
      <c r="D29">
        <v>3100</v>
      </c>
      <c r="E29" t="s">
        <v>83</v>
      </c>
      <c r="F29" t="s">
        <v>109</v>
      </c>
      <c r="G29" t="s">
        <v>138</v>
      </c>
      <c r="H29" t="s">
        <v>23</v>
      </c>
      <c r="I29" t="s">
        <v>63</v>
      </c>
      <c r="J29" t="s">
        <v>44</v>
      </c>
    </row>
    <row r="30" spans="1:10" x14ac:dyDescent="0.25">
      <c r="A30" t="s">
        <v>85</v>
      </c>
      <c r="B30" s="1">
        <v>46085</v>
      </c>
      <c r="C30" t="s">
        <v>139</v>
      </c>
      <c r="D30">
        <v>2500</v>
      </c>
      <c r="E30" t="s">
        <v>83</v>
      </c>
      <c r="F30" t="s">
        <v>128</v>
      </c>
      <c r="G30" t="s">
        <v>140</v>
      </c>
      <c r="H30" t="s">
        <v>23</v>
      </c>
      <c r="I30" t="s">
        <v>65</v>
      </c>
      <c r="J30" t="s">
        <v>54</v>
      </c>
    </row>
    <row r="31" spans="1:10" x14ac:dyDescent="0.25">
      <c r="A31" t="s">
        <v>86</v>
      </c>
      <c r="B31" s="1">
        <v>46087</v>
      </c>
      <c r="C31" t="s">
        <v>136</v>
      </c>
      <c r="D31">
        <v>1800</v>
      </c>
      <c r="E31" t="s">
        <v>83</v>
      </c>
      <c r="F31" t="s">
        <v>49</v>
      </c>
      <c r="G31" t="s">
        <v>141</v>
      </c>
      <c r="H31" t="s">
        <v>23</v>
      </c>
      <c r="I31" t="s">
        <v>67</v>
      </c>
      <c r="J3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F2" sqref="F2"/>
    </sheetView>
  </sheetViews>
  <sheetFormatPr defaultRowHeight="15" x14ac:dyDescent="0.25"/>
  <cols>
    <col min="3" max="3" width="9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F9" sqref="F9"/>
    </sheetView>
  </sheetViews>
  <sheetFormatPr defaultRowHeight="15" x14ac:dyDescent="0.25"/>
  <cols>
    <col min="1" max="1" width="10.42578125" bestFit="1" customWidth="1"/>
    <col min="2" max="2" width="8.5703125" bestFit="1" customWidth="1"/>
    <col min="3" max="3" width="8.7109375" bestFit="1" customWidth="1"/>
  </cols>
  <sheetData>
    <row r="1" spans="1:3" x14ac:dyDescent="0.25">
      <c r="A1" t="s">
        <v>87</v>
      </c>
      <c r="B1" t="s">
        <v>88</v>
      </c>
      <c r="C1" t="s">
        <v>89</v>
      </c>
    </row>
    <row r="2" spans="1:3" x14ac:dyDescent="0.25">
      <c r="A2" s="1">
        <v>46082</v>
      </c>
      <c r="B2" t="s">
        <v>38</v>
      </c>
      <c r="C2">
        <v>1.1900000000000001E-2</v>
      </c>
    </row>
    <row r="3" spans="1:3" x14ac:dyDescent="0.25">
      <c r="A3" s="1">
        <v>46082</v>
      </c>
      <c r="B3" t="s">
        <v>78</v>
      </c>
      <c r="C3">
        <v>1.08</v>
      </c>
    </row>
    <row r="4" spans="1:3" x14ac:dyDescent="0.25">
      <c r="A4" s="1">
        <v>46082</v>
      </c>
      <c r="B4" t="s">
        <v>83</v>
      </c>
      <c r="C4">
        <v>1</v>
      </c>
    </row>
    <row r="5" spans="1:3" x14ac:dyDescent="0.25">
      <c r="A5" s="1">
        <v>46083</v>
      </c>
      <c r="B5" t="s">
        <v>38</v>
      </c>
      <c r="C5">
        <v>1.2E-2</v>
      </c>
    </row>
    <row r="6" spans="1:3" x14ac:dyDescent="0.25">
      <c r="A6" s="1">
        <v>46083</v>
      </c>
      <c r="B6" t="s">
        <v>78</v>
      </c>
      <c r="C6">
        <v>1.0900000000000001</v>
      </c>
    </row>
    <row r="7" spans="1:3" x14ac:dyDescent="0.25">
      <c r="A7" s="1">
        <v>46083</v>
      </c>
      <c r="B7" t="s">
        <v>83</v>
      </c>
      <c r="C7">
        <v>1</v>
      </c>
    </row>
    <row r="8" spans="1:3" x14ac:dyDescent="0.25">
      <c r="A8" s="1">
        <v>46084</v>
      </c>
      <c r="B8" t="s">
        <v>38</v>
      </c>
      <c r="C8">
        <v>1.21E-2</v>
      </c>
    </row>
    <row r="9" spans="1:3" x14ac:dyDescent="0.25">
      <c r="A9" s="1">
        <v>46084</v>
      </c>
      <c r="B9" t="s">
        <v>78</v>
      </c>
      <c r="C9">
        <v>1.08</v>
      </c>
    </row>
    <row r="10" spans="1:3" x14ac:dyDescent="0.25">
      <c r="A10" s="1">
        <v>46084</v>
      </c>
      <c r="B10" t="s">
        <v>83</v>
      </c>
      <c r="C10">
        <v>1</v>
      </c>
    </row>
    <row r="11" spans="1:3" x14ac:dyDescent="0.25">
      <c r="A11" s="1">
        <v>46085</v>
      </c>
      <c r="B11" t="s">
        <v>38</v>
      </c>
      <c r="C11">
        <v>1.2E-2</v>
      </c>
    </row>
    <row r="12" spans="1:3" x14ac:dyDescent="0.25">
      <c r="A12" s="1">
        <v>46085</v>
      </c>
      <c r="B12" t="s">
        <v>78</v>
      </c>
      <c r="C12">
        <v>1.07</v>
      </c>
    </row>
    <row r="13" spans="1:3" x14ac:dyDescent="0.25">
      <c r="A13" s="1">
        <v>46085</v>
      </c>
      <c r="B13" t="s">
        <v>83</v>
      </c>
      <c r="C13">
        <v>1</v>
      </c>
    </row>
    <row r="14" spans="1:3" x14ac:dyDescent="0.25">
      <c r="A14" s="1">
        <v>46086</v>
      </c>
      <c r="B14" t="s">
        <v>38</v>
      </c>
      <c r="C14">
        <v>1.18E-2</v>
      </c>
    </row>
    <row r="15" spans="1:3" x14ac:dyDescent="0.25">
      <c r="A15" s="1">
        <v>46086</v>
      </c>
      <c r="B15" t="s">
        <v>78</v>
      </c>
      <c r="C15">
        <v>1.0900000000000001</v>
      </c>
    </row>
    <row r="16" spans="1:3" x14ac:dyDescent="0.25">
      <c r="A16" s="1">
        <v>46086</v>
      </c>
      <c r="B16" t="s">
        <v>83</v>
      </c>
      <c r="C16">
        <v>1</v>
      </c>
    </row>
    <row r="17" spans="1:3" x14ac:dyDescent="0.25">
      <c r="A17" s="1">
        <v>46087</v>
      </c>
      <c r="B17" t="s">
        <v>38</v>
      </c>
      <c r="C17">
        <v>1.1900000000000001E-2</v>
      </c>
    </row>
    <row r="18" spans="1:3" x14ac:dyDescent="0.25">
      <c r="A18" s="1">
        <v>46087</v>
      </c>
      <c r="B18" t="s">
        <v>78</v>
      </c>
      <c r="C18">
        <v>1.08</v>
      </c>
    </row>
    <row r="19" spans="1:3" x14ac:dyDescent="0.25">
      <c r="A19" s="1">
        <v>46087</v>
      </c>
      <c r="B19" t="s">
        <v>83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spreadsheet_workbook</vt:lpstr>
      <vt:lpstr>Pivot Table</vt:lpstr>
      <vt:lpstr>transaction_raw</vt:lpstr>
      <vt:lpstr>merchant_master</vt:lpstr>
      <vt:lpstr>exchange_rate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2026-04-27T15:32:41Z</dcterms:created>
  <dcterms:modified xsi:type="dcterms:W3CDTF">2026-05-09T07:37:21Z</dcterms:modified>
</cp:coreProperties>
</file>